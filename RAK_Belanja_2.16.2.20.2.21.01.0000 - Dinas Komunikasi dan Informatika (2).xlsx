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0c94529b0ea5f14/Documents/BENDAHARA/BENDAHARA 2026/LRA/"/>
    </mc:Choice>
  </mc:AlternateContent>
  <xr:revisionPtr revIDLastSave="17" documentId="13_ncr:1_{815F750A-B3BC-4A8B-8DA4-33ECDF8DC91E}" xr6:coauthVersionLast="47" xr6:coauthVersionMax="47" xr10:uidLastSave="{E1DED9D3-70F4-4D2A-976E-37B7539A88B0}"/>
  <bookViews>
    <workbookView xWindow="-103" yWindow="-103" windowWidth="22149" windowHeight="13200" xr2:uid="{00000000-000D-0000-FFFF-FFFF00000000}"/>
  </bookViews>
  <sheets>
    <sheet name="RAK Belanja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8" sheetId="9" r:id="rId8"/>
    <sheet name="Sheet9" sheetId="10" r:id="rId9"/>
    <sheet name="Sheet10" sheetId="11" r:id="rId10"/>
    <sheet name="Sheet7" sheetId="8" state="hidden" r:id="rId11"/>
  </sheets>
  <definedNames>
    <definedName name="_xlnm.Print_Area" localSheetId="1">Sheet1!$A$1:$F$67</definedName>
    <definedName name="_xlnm.Print_Area" localSheetId="4">Sheet4!$A$1:$F$54</definedName>
    <definedName name="_xlnm.Print_Area" localSheetId="5">Sheet5!$A$1:$F$39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5" i="11" l="1"/>
  <c r="D65" i="11"/>
  <c r="C65" i="11"/>
  <c r="F48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F59" i="11"/>
  <c r="F63" i="11"/>
  <c r="F60" i="11"/>
  <c r="F55" i="11"/>
  <c r="F54" i="11" s="1"/>
  <c r="F49" i="11"/>
  <c r="F38" i="11"/>
  <c r="F39" i="11"/>
  <c r="F34" i="11"/>
  <c r="F30" i="11"/>
  <c r="F27" i="11"/>
  <c r="F17" i="11"/>
  <c r="F12" i="11"/>
  <c r="F5" i="11"/>
  <c r="F4" i="11" s="1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M488" i="1"/>
  <c r="N488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" i="1"/>
  <c r="N4" i="1" s="1"/>
  <c r="F65" i="11" l="1"/>
  <c r="G65" i="11" s="1"/>
  <c r="G4" i="11"/>
  <c r="G5" i="11"/>
</calcChain>
</file>

<file path=xl/sharedStrings.xml><?xml version="1.0" encoding="utf-8"?>
<sst xmlns="http://schemas.openxmlformats.org/spreadsheetml/2006/main" count="2420" uniqueCount="490">
  <si>
    <t/>
  </si>
  <si>
    <t>Kode Rekening</t>
  </si>
  <si>
    <t>Uraian</t>
  </si>
  <si>
    <t>Anggaran Tahun Ini</t>
  </si>
  <si>
    <t>Total RAK</t>
  </si>
  <si>
    <t>Januari</t>
  </si>
  <si>
    <t>Februari</t>
  </si>
  <si>
    <t>Maret</t>
  </si>
  <si>
    <t>April</t>
  </si>
  <si>
    <t>Mei</t>
  </si>
  <si>
    <t>Juni</t>
  </si>
  <si>
    <t>Juli</t>
  </si>
  <si>
    <t>2</t>
  </si>
  <si>
    <t>URUSAN PEMERINTAHAN WAJIB YANG TIDAK BERKAITAN DENGAN PELAYANAN DASAR</t>
  </si>
  <si>
    <t>2.16</t>
  </si>
  <si>
    <t>URUSAN PEMERINTAHAN BIDANG KOMUNIKASI DAN INFORMATIKA</t>
  </si>
  <si>
    <t>2.16.2.20.2.21.01.0000</t>
  </si>
  <si>
    <t>Dinas Komunikasi dan Informatika</t>
  </si>
  <si>
    <t>2.16.01</t>
  </si>
  <si>
    <t>PROGRAM PENUNJANG URUSAN PEMERINTAHAN DAERAH KABUPATEN/KOTA</t>
  </si>
  <si>
    <t>2.16.01.2.01</t>
  </si>
  <si>
    <t>Perencanaan, Penganggaran, dan Evaluasi Kinerja Perangkat Daerah</t>
  </si>
  <si>
    <t>2.16.01.2.01.0001</t>
  </si>
  <si>
    <t>Penyusunan Dokumen Perencanaan Perangkat Daerah</t>
  </si>
  <si>
    <t>5.1.02</t>
  </si>
  <si>
    <t>Belanja Barang dan Jasa</t>
  </si>
  <si>
    <t>5.1.02.01</t>
  </si>
  <si>
    <t>Belanja Barang</t>
  </si>
  <si>
    <t>5.1.02.01.001</t>
  </si>
  <si>
    <t>Belanja Barang Pakai Habis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</si>
  <si>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</si>
  <si>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</si>
  <si>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</si>
  <si>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</si>
  <si>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</si>
  <si>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</si>
  <si>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5.1.02.02</t>
  </si>
  <si>
    <t>Belanja Jasa</t>
  </si>
  <si>
    <t>5.1.02.02.001</t>
  </si>
  <si>
    <t>Belanja Jasa Kantor</t>
  </si>
  <si>
    <t>5.1.02.02.001.00071</t>
  </si>
  <si>
    <t>Belanja Lembur</t>
  </si>
  <si>
    <t>5.1.02.04</t>
  </si>
  <si>
    <t>Belanja Perjalanan Dinas</t>
  </si>
  <si>
    <t>5.1.02.04.001</t>
  </si>
  <si>
    <t>Belanja Perjalanan Dinas Dalam Negeri</t>
  </si>
  <si>
    <t>5.1.02.04.001.00001</t>
  </si>
  <si>
    <t>Belanja Perjalanan Dinas Biasa</t>
  </si>
  <si>
    <t>2.16.01.2.01.0002</t>
  </si>
  <si>
    <t>Koordinasi dan Penyusunan Dokumen RKA-SKPD</t>
  </si>
  <si>
    <t>2.16.01.2.01.0003</t>
  </si>
  <si>
    <t>Koordinasi dan Penyusunan Dokumen Perubahan RKA-SKPD</t>
  </si>
  <si>
    <t>2.16.01.2.01.0004</t>
  </si>
  <si>
    <t>Koordinasi dan Penyusunan DPA-SKPD</t>
  </si>
  <si>
    <t>2.16.01.2.01.0005</t>
  </si>
  <si>
    <t>Koordinasi dan Penyusunan Perubahan DPA- SKPD</t>
  </si>
  <si>
    <t>2.16.01.2.01.0006</t>
  </si>
  <si>
    <t>Koordinasi dan Penyusunan Laporan Capaian Kinerja dan Ikhtisar Realisasi Kinerja SKPD</t>
  </si>
  <si>
    <t>2.16.01.2.02</t>
  </si>
  <si>
    <t>Administrasi Keuangan Perangkat Daerah</t>
  </si>
  <si>
    <t>2.16.01.2.02.0001</t>
  </si>
  <si>
    <t>Penyediaan Gaji dan Tunjangan ASN</t>
  </si>
  <si>
    <t>5.1.01</t>
  </si>
  <si>
    <t>Belanja Pegawai</t>
  </si>
  <si>
    <t>5.1.01.01</t>
  </si>
  <si>
    <t>Belanja Gaji dan Tunjangan ASN</t>
  </si>
  <si>
    <t>5.1.01.01.001</t>
  </si>
  <si>
    <t>Belanja Gaji Pokok ASN</t>
  </si>
  <si>
    <t>5.1.01.01.001.00001</t>
  </si>
  <si>
    <t>Belanja Gaji Pokok PNS</t>
  </si>
  <si>
    <t>5.1.01.01.002</t>
  </si>
  <si>
    <t>Belanja Tunjangan Keluarga ASN</t>
  </si>
  <si>
    <t>5.1.01.01.002.00001</t>
  </si>
  <si>
    <t>Belanja Tunjangan Keluarga PNS</t>
  </si>
  <si>
    <t>5.1.01.01.003</t>
  </si>
  <si>
    <t>Belanja Tunjangan Jabatan ASN</t>
  </si>
  <si>
    <t>5.1.01.01.003.00001</t>
  </si>
  <si>
    <t>Belanja Tunjangan Jabatan PNS</t>
  </si>
  <si>
    <t>5.1.01.01.004</t>
  </si>
  <si>
    <t>Belanja Tunjangan Fungsional ASN</t>
  </si>
  <si>
    <t>5.1.01.01.004.00001</t>
  </si>
  <si>
    <t>Belanja Tunjangan Fungsional PNS</t>
  </si>
  <si>
    <t>5.1.01.01.005</t>
  </si>
  <si>
    <t>Belanja Tunjangan Fungsional Umum ASN</t>
  </si>
  <si>
    <t>5.1.01.01.005.00001</t>
  </si>
  <si>
    <t>Belanja Tunjangan Fungsional Umum PNS</t>
  </si>
  <si>
    <t>5.1.01.01.006</t>
  </si>
  <si>
    <t>Belanja Tunjangan Beras ASN</t>
  </si>
  <si>
    <t>5.1.01.01.006.00001</t>
  </si>
  <si>
    <t>Belanja Tunjangan Beras PNS</t>
  </si>
  <si>
    <t>5.1.01.01.007</t>
  </si>
  <si>
    <t>Belanja Tunjangan PPh/Tunjangan Khusus ASN</t>
  </si>
  <si>
    <t>5.1.01.01.007.00001</t>
  </si>
  <si>
    <t>Belanja Tunjangan PPh/Tunjangan Khusus PNS</t>
  </si>
  <si>
    <t>5.1.01.01.008</t>
  </si>
  <si>
    <t>Belanja Pembulatan Gaji ASN</t>
  </si>
  <si>
    <t>5.1.01.01.008.00001</t>
  </si>
  <si>
    <t>Belanja Pembulatan Gaji PNS</t>
  </si>
  <si>
    <t>5.1.01.02</t>
  </si>
  <si>
    <t>Belanja Tambahan Penghasilan ASN</t>
  </si>
  <si>
    <t>5.1.01.02.001</t>
  </si>
  <si>
    <t>Tambahan Penghasilan berdasarkan Beban Kerja ASN</t>
  </si>
  <si>
    <t>5.1.01.02.001.00001</t>
  </si>
  <si>
    <t>Tambahan Penghasilan berdasarkan Beban Kerja PNS</t>
  </si>
  <si>
    <t>2.16.01.2.02.0002</t>
  </si>
  <si>
    <t>Penyediaan Administrasi Pelaksanaan Tugas ASN</t>
  </si>
  <si>
    <t>5.1.02.02.001.00001</t>
  </si>
  <si>
    <t>Belanja Jasa Pengelolaan BMD yang Tidak Menghasilkan Pendapatan</t>
  </si>
  <si>
    <t>5.1.02.02.001.00026</t>
  </si>
  <si>
    <t>Belanja Jasa Tenaga Administrasi</t>
  </si>
  <si>
    <t>5.1.02.02.001.00027</t>
  </si>
  <si>
    <t>Belanja Jasa Tenaga Operator Komputer</t>
  </si>
  <si>
    <t>5.1.02.02.001.00080</t>
  </si>
  <si>
    <t>Belanja Honorarium Penanggungjawaban Pengelola Keuangan</t>
  </si>
  <si>
    <t>2.16.01.2.02.0005</t>
  </si>
  <si>
    <t>Koordinasi dan Penyusunan Laporan Keuangan Akhir Tahun SKPD</t>
  </si>
  <si>
    <t>2.16.01.2.02.0007</t>
  </si>
  <si>
    <t>Koordinasi dan Penyusunan Laporan Keuangan Bulanan/ Triwulanan/ Semesteran SKPD</t>
  </si>
  <si>
    <t>2.16.01.2.06</t>
  </si>
  <si>
    <t>Administrasi Umum Perangkat Daerah</t>
  </si>
  <si>
    <t>2.16.01.2.06.0001</t>
  </si>
  <si>
    <t>5.1.02.01.001.00031</t>
  </si>
  <si>
    <t>Belanja Alat/Bahan untuk Kegiatan Kantor-Alat Listrik</t>
  </si>
  <si>
    <t>2.16.01.2.06.0003</t>
  </si>
  <si>
    <t>Penyediaan Peralatan Rumah Tangga</t>
  </si>
  <si>
    <t>5.1.02.01.001.00030</t>
  </si>
  <si>
    <t>Belanja Alat/Bahan untuk Kegiatan Kantor-Perabot Kantor</t>
  </si>
  <si>
    <t>2.16.01.2.06.0004</t>
  </si>
  <si>
    <t>Penyediaan Bahan Logistik Kantor</t>
  </si>
  <si>
    <t>2.16.01.2.06.0005</t>
  </si>
  <si>
    <t>Penyediaan Barang Cetakan dan Penggandaan</t>
  </si>
  <si>
    <t>2.16.01.2.06.0006</t>
  </si>
  <si>
    <t>Penyediaan Bahan Bacaan dan Peraturan Perundang-undangan</t>
  </si>
  <si>
    <t>5.1.02.02.001.00062</t>
  </si>
  <si>
    <t>Belanja Langganan Jurnal/Surat Kabar/Majalah</t>
  </si>
  <si>
    <t>2.16.01.2.06.0008</t>
  </si>
  <si>
    <t>Fasilitasi Kunjungan Tamu</t>
  </si>
  <si>
    <t>5.1.02.01.001.00052</t>
  </si>
  <si>
    <t>Belanja Makanan dan Minuman Rapat</t>
  </si>
  <si>
    <t>2.16.01.2.06.0009</t>
  </si>
  <si>
    <t>Penyelenggaraan Rapat Koordinasi dan Konsultasi SKPD</t>
  </si>
  <si>
    <t>5.1.02.04.001.00003</t>
  </si>
  <si>
    <t>Belanja Perjalanan Dinas Dalam Kota</t>
  </si>
  <si>
    <t>2.16.01.2.07</t>
  </si>
  <si>
    <t>Pengadaan Barang Milik Daerah Penunjang Urusan Pemerintah Daerah</t>
  </si>
  <si>
    <t>2.16.01.2.07.0006</t>
  </si>
  <si>
    <t>Pengadaan Peralatan dan Mesin Lainnya</t>
  </si>
  <si>
    <t>5.2</t>
  </si>
  <si>
    <t>BELANJA MODAL</t>
  </si>
  <si>
    <t>5.2.02</t>
  </si>
  <si>
    <t>Belanja Modal Peralatan dan Mesin</t>
  </si>
  <si>
    <t>5.2.02.05</t>
  </si>
  <si>
    <t>Belanja Modal Alat Kantor dan Rumah Tangga</t>
  </si>
  <si>
    <t>5.2.02.05.002</t>
  </si>
  <si>
    <t>Belanja Modal Alat Rumah Tangga</t>
  </si>
  <si>
    <t>5.2.02.05.002.00001</t>
  </si>
  <si>
    <t>Belanja Modal Mebel</t>
  </si>
  <si>
    <t>5.2.02.10</t>
  </si>
  <si>
    <t>Belanja Modal Komputer</t>
  </si>
  <si>
    <t>5.2.02.10.001</t>
  </si>
  <si>
    <t>Belanja Modal Komputer Unit</t>
  </si>
  <si>
    <t>5.2.02.10.001.00002</t>
  </si>
  <si>
    <t>Belanja Modal Personal Computer</t>
  </si>
  <si>
    <t>2.16.01.2.08</t>
  </si>
  <si>
    <t>Penyediaan Jasa Penunjang Urusan Pemerintahan Daerah</t>
  </si>
  <si>
    <t>2.16.01.2.08.0002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</si>
  <si>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</si>
  <si>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</si>
  <si>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</si>
  <si>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</si>
  <si>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</si>
  <si>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</si>
  <si>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</si>
  <si>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2.16.01.2.08.0003</t>
  </si>
  <si>
    <t>Penyediaan Jasa Peralatan dan Perlengkapan Kantor</t>
  </si>
  <si>
    <t>5.1.02.05</t>
  </si>
  <si>
    <t>Belanja Uang dan/atau Jasa untuk Diberikan kepada Pihak Ketiga/Pihak Lain/Masyarakat</t>
  </si>
  <si>
    <t>5.1.02.05.002</t>
  </si>
  <si>
    <t>Belanja Jasa yang Diberikan kepada Pihak Ketiga/Pihak Lain/Masyarakat</t>
  </si>
  <si>
    <t>5.1.02.05.002.00001</t>
  </si>
  <si>
    <t>Belanja Jasa yang Diberikan kepada Pihak Ketiga/Pihak Lain</t>
  </si>
  <si>
    <t>2.16.01.2.08.0004</t>
  </si>
  <si>
    <t>Penyediaan Jasa Pelayanan Umum Kantor</t>
  </si>
  <si>
    <t>5.1.02.02.001.00030</t>
  </si>
  <si>
    <t>Belanja Jasa Tenaga Kebersihan</t>
  </si>
  <si>
    <t>5.1.02.02.001.00031</t>
  </si>
  <si>
    <t>Belanja Jasa Tenaga Keamanan</t>
  </si>
  <si>
    <t>5.1.02.02.001.00033</t>
  </si>
  <si>
    <t>Belanja Jasa Tenaga Supir</t>
  </si>
  <si>
    <t>5.1.02.02.001.00086</t>
  </si>
  <si>
    <t>Belanja jasa Pegawai Pemerintah dengan Perjanjian Kerja (PPPK) Paruh Waktu pada jabatan tenaga teknis</t>
  </si>
  <si>
    <t>5.1.02.02.001.00087</t>
  </si>
  <si>
    <t>Belanja Jasa Pegawai Pemerintah dengan Perjanjian Kerja (PPPK) Paruh Waktu pada Jabatan Pengelola Umum Operasional</t>
  </si>
  <si>
    <t>5.1.02.02.001.00088</t>
  </si>
  <si>
    <t>Belanja jasa Pegawai Pemerintah dengan Perjanjian Kerja (PPPK) Paruh Waktu pada jabatan operator layanan operasional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</si>
  <si>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</si>
  <si>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</si>
  <si>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</si>
  <si>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</si>
  <si>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2.16.01.2.09</t>
  </si>
  <si>
    <t>Pemeliharaan Barang Milik Daerah Penunjang Urusan Pemerintahan Daerah</t>
  </si>
  <si>
    <t>2.16.01.2.09.0001</t>
  </si>
  <si>
    <t>Penyediaan Jasa Pemeliharaan, Biaya Pemeliharaan, dan Pajak Kendaraan Perorangan Dinas atau Kendaraan Dinas Jabatan</t>
  </si>
  <si>
    <t>5.1.02.02.001.00067</t>
  </si>
  <si>
    <t>Belanja Pembayaran Pajak, Bea, dan Perizinan</t>
  </si>
  <si>
    <t>5.1.02.03</t>
  </si>
  <si>
    <t>Belanja Pemeliharaan</t>
  </si>
  <si>
    <t>5.1.02.03.002</t>
  </si>
  <si>
    <t>Belanja Pemeliharaan Peralatan dan Mesin</t>
  </si>
  <si>
    <t>5.1.02.03.002.00036</t>
  </si>
  <si>
    <t>Belanja Pemeliharaan Alat Angkutan-Alat Angkutan Darat Bermotor-Kendaraan Bermotor Penumpang</t>
  </si>
  <si>
    <t>5.1.02.03.002.00038</t>
  </si>
  <si>
    <t>Belanja Pemeliharaan Alat Angkutan-Alat Angkutan Darat Bermotor-Kendaraan Bermotor Beroda Dua</t>
  </si>
  <si>
    <t>2.16.01.2.09.0006</t>
  </si>
  <si>
    <t>Pemeliharaan Peralatan dan Mesin Lainnya</t>
  </si>
  <si>
    <t>5.1.02.03.002.00022</t>
  </si>
  <si>
    <t>Belanja Pemeliharaan Alat Besar-Alat Bantu-Electric Generating Set</t>
  </si>
  <si>
    <t>5.1.02.03.002.00121</t>
  </si>
  <si>
    <t>Belanja Pemeliharaan Alat Kantor dan Rumah Tangga-Alat Rumah Tangga-Alat Pendingin</t>
  </si>
  <si>
    <t>5.1.02.03.002.00141</t>
  </si>
  <si>
    <t>Belanja Pemeliharaan Alat Studio, Komunikasi, dan Pemancar-Alat Komunikasi-Alat Komunikasi Radio VHF</t>
  </si>
  <si>
    <t>5.1.02.03.002.00404</t>
  </si>
  <si>
    <t>Belanja Pemeliharaan Komputer-Komputer Unit-Komputer Jaringan</t>
  </si>
  <si>
    <t>5.1.02.03.002.00405</t>
  </si>
  <si>
    <t>Belanja Pemeliharaan Komputer-Komputer Unit-Personal Computer</t>
  </si>
  <si>
    <t>2.16.01.2.09.0009</t>
  </si>
  <si>
    <t>Pemeliharaan/Rehabilitasi Gedung Kantor dan Bangunan Lainnya</t>
  </si>
  <si>
    <t>5.1.02.03.003</t>
  </si>
  <si>
    <t>Belanja Pemeliharaan Gedung dan Bangunan</t>
  </si>
  <si>
    <t>5.1.02.03.003.00001</t>
  </si>
  <si>
    <t>Belanja Pemeliharaan Bangunan Gedung-Bangunan Gedung Tempat Kerja-Bangunan Gedung Kantor</t>
  </si>
  <si>
    <t>2.16.02</t>
  </si>
  <si>
    <t>PROGRAM PENGELOLAAN INFORMASI DAN KOMUNIKASI PUBLIK</t>
  </si>
  <si>
    <t>2.16.02.2.01</t>
  </si>
  <si>
    <t>Pengelolaan Informasi dan Komunikasi Publik Pemerintah Daerah Kabupaten/Kota</t>
  </si>
  <si>
    <t>2.16.02.2.01.0014</t>
  </si>
  <si>
    <t>Relasi Media</t>
  </si>
  <si>
    <t>5.1.02.01.001.00027</t>
  </si>
  <si>
    <t>Belanja Alat/Bahan untuk Kegiatan Kantor-Benda Pos</t>
  </si>
  <si>
    <t>5.1.02.02.001.00055</t>
  </si>
  <si>
    <t>Belanja Jasa Iklan/Reklame, Film, dan Pemotretan</t>
  </si>
  <si>
    <t>2.16.02.2.01.0015</t>
  </si>
  <si>
    <t>Kemitraan Komunikasi dengan Komunitas Informasi Masyarakat</t>
  </si>
  <si>
    <t>2.16.02.2.01.0017</t>
  </si>
  <si>
    <t>Pelayanan Informasi Publik</t>
  </si>
  <si>
    <t>2.16.02.2.01.0019</t>
  </si>
  <si>
    <t>Monitoring Informasi Kebijakan, Opini, dan Aspirasi Publik</t>
  </si>
  <si>
    <t>5.1.02.02.001.00003</t>
  </si>
  <si>
    <t>Honorarium Narasumber atau Pembahas, Moderator, Pembawa Acara, dan Panitia</t>
  </si>
  <si>
    <t>5.1.02.04.001.00004</t>
  </si>
  <si>
    <t>Belanja Perjalanan Dinas Paket Meeting Dalam Kota</t>
  </si>
  <si>
    <t>2.16.02.2.01.0020</t>
  </si>
  <si>
    <t>Diseminasi Informasi</t>
  </si>
  <si>
    <t>2.16.02.2.01.0021</t>
  </si>
  <si>
    <t>Pengelolaan Media Komunikasi Publik</t>
  </si>
  <si>
    <t>5.1.02.02.001.00039</t>
  </si>
  <si>
    <t>Belanja Jasa Tenaga Informasi dan Teknologi</t>
  </si>
  <si>
    <t>2.16.02.2.01.0023</t>
  </si>
  <si>
    <t>Penyusunan Konten</t>
  </si>
  <si>
    <t>5.1.02.02.001.00029</t>
  </si>
  <si>
    <t>Belanja Jasa Tenaga Ahli</t>
  </si>
  <si>
    <t>2.16.02.2.01.0024</t>
  </si>
  <si>
    <t>Penguatan Kapasitas Sumber Daya Manusia Komunikasi Publik</t>
  </si>
  <si>
    <t>2.16.03</t>
  </si>
  <si>
    <t>PROGRAM PENGELOLAAN APLIKASI INFORMATIKA</t>
  </si>
  <si>
    <t>2.16.03.2.02</t>
  </si>
  <si>
    <t>Pengelolaan E-government di Lingkup Pemerintah Daerah Kabupaten/Kota</t>
  </si>
  <si>
    <t>2.16.03.2.02.0019</t>
  </si>
  <si>
    <t>Koordinasi pelaksanaan Manajemen SPBE</t>
  </si>
  <si>
    <t>2.16.03.2.02.0024</t>
  </si>
  <si>
    <t>Penyelenggaraan Jaringan Intra Pemerintah Daerah Kab/Kota</t>
  </si>
  <si>
    <t>5.1.02.02.001.00063</t>
  </si>
  <si>
    <t>Belanja Kawat/Faksimili/Internet/TV Berlangganan</t>
  </si>
  <si>
    <t>2.16.03.2.02.0034</t>
  </si>
  <si>
    <t>Penyelenggaraan Sistem Penghubung Layanan Pemerintah Daerah dalam rangka interopabilitas data dan integrasi layanan</t>
  </si>
  <si>
    <t>5.1.02.01.001.00036</t>
  </si>
  <si>
    <t>Belanja Alat/Bahan untuk Kegiatan Kantor-Alat/Bahan untuk Kegiatan Kantor Lainnya</t>
  </si>
  <si>
    <t>5.1.02.02.004</t>
  </si>
  <si>
    <t>Belanja Sewa Peralatan dan Mesin</t>
  </si>
  <si>
    <t>5.1.02.02.004.00133</t>
  </si>
  <si>
    <t>Belanja Sewa Peralatan Studio Video dan Film</t>
  </si>
  <si>
    <t>5.1.02.02.015</t>
  </si>
  <si>
    <t>Belanja Sewa Aset Tidak Berwujud</t>
  </si>
  <si>
    <t>5.1.02.02.015.00005</t>
  </si>
  <si>
    <t>Belanja Sewa Aset Tidak Berwujud-Software</t>
  </si>
  <si>
    <t>2.16.03.2.02.0038</t>
  </si>
  <si>
    <t>Koordinasi dan Fasilitasi Penyelenggaraan Kabupaten atau Kota Cerdas</t>
  </si>
  <si>
    <t>2.20</t>
  </si>
  <si>
    <t>URUSAN PEMERINTAHAN BIDANG STATISTIK</t>
  </si>
  <si>
    <t>2.20.02</t>
  </si>
  <si>
    <t>PROGRAM PENYELENGGARAAN STATISTIK SEKTORAL</t>
  </si>
  <si>
    <t>2.20.02.2.01</t>
  </si>
  <si>
    <t>Penyelenggaraan Statistik Sektoral di Lingkup Daerah Kabupaten/Kota</t>
  </si>
  <si>
    <t>2.20.02.2.01.0017</t>
  </si>
  <si>
    <t>Pengelolaan Kegiatan Statistik Sektoral Dalam Sistem Statistik Nasional</t>
  </si>
  <si>
    <t>2.20.02.2.01.0019</t>
  </si>
  <si>
    <t>Peningkatan Kualitas Statistik Sektoral</t>
  </si>
  <si>
    <t>2.20.02.2.01.0020</t>
  </si>
  <si>
    <t>Pengingkatan Kapasitas Kelembagaan Statistik Sektoral</t>
  </si>
  <si>
    <t>2.21</t>
  </si>
  <si>
    <t>URUSAN PEMERINTAHAN BIDANG PERSANDIAN</t>
  </si>
  <si>
    <t>2.21.02</t>
  </si>
  <si>
    <t>PROGRAM PENYELENGGARAAN PERSANDIAN UNTUK PENGAMANAN INFORMASI</t>
  </si>
  <si>
    <t>2.21.02.2.01</t>
  </si>
  <si>
    <t>Penyelenggaraan Persandian untuk Pengamanan Informasi Pemerintah Daerah Kabupaten/Kota</t>
  </si>
  <si>
    <t>2.21.02.2.01.0005</t>
  </si>
  <si>
    <t>Pelaksanaan Keamanan Informasi Pemerintahan Daerah Berbasis Elektronik dan Non Elektronik</t>
  </si>
  <si>
    <t>2.21.02.2.01.0007</t>
  </si>
  <si>
    <t>Penyediaan Layanan Keamanan Informasi dan Persandian Pemerintah Daerah</t>
  </si>
  <si>
    <t>2.21.02.2.02</t>
  </si>
  <si>
    <t>Penetapan Pola Hubungan Komunikasi Sandi Antar Perangkat Daerah Kabupaten/Kota</t>
  </si>
  <si>
    <t>2.21.02.2.02.0002</t>
  </si>
  <si>
    <t>Operasionalisasi Layanan Keamanan Informasi dan Persandian Pemerintah Daerah</t>
  </si>
  <si>
    <t>5.1.02.02.001.00004</t>
  </si>
  <si>
    <t>Honorarium Tim Pelaksana Kegiatan dan Sekretariat Tim Pelaksana Kegiatan</t>
  </si>
  <si>
    <t>JUMLAH</t>
  </si>
  <si>
    <t>RENCANA ANGGARAN KAS SATUAN KERJA PERANGKAT DAERAH KAB. LAMPUNG SELATAN PERGESERAN APBD TAHUN 2026 DINAS KOMUNIKASI DAN INFORMATIKA</t>
  </si>
  <si>
    <t>Realisasi</t>
  </si>
  <si>
    <t>0,00</t>
  </si>
  <si>
    <t>Penyediaan Komponen Instalasi Listrik/Penerangan Bangunan Kantor</t>
  </si>
  <si>
    <t>Total Jan Jul</t>
  </si>
  <si>
    <t>Persen RAK</t>
  </si>
  <si>
    <t>Kegiatan</t>
  </si>
  <si>
    <t>Anggaran</t>
  </si>
  <si>
    <t>Realisasi DI LRA</t>
  </si>
  <si>
    <t>Persen di LRA</t>
  </si>
  <si>
    <t>Persen di RAK (Rencana Kas)</t>
  </si>
  <si>
    <t>Penyediaan Komponen InstalasiListrik/Penerangan Bangunan Kantor</t>
  </si>
  <si>
    <t>NO</t>
  </si>
  <si>
    <t>PROGRAM DAN KEGIATAN</t>
  </si>
  <si>
    <t>PAGU ANGGARAN SEBELUM (Rp)</t>
  </si>
  <si>
    <t>REALISASI</t>
  </si>
  <si>
    <t>PAGU ANGGARAN SETELAH (Rp)</t>
  </si>
  <si>
    <t>(Rp)</t>
  </si>
  <si>
    <t>(%)</t>
  </si>
  <si>
    <t>A</t>
  </si>
  <si>
    <t>I</t>
  </si>
  <si>
    <t>Kegiatan Perencanaan, Penganggaran, dan Evaluasi Kinerja Perangkat Daerah</t>
  </si>
  <si>
    <t>1.1</t>
  </si>
  <si>
    <t>Sub Kegiatan Penyusunan Dokumen Perencanaan Perangkat Daerah</t>
  </si>
  <si>
    <t>1.2</t>
  </si>
  <si>
    <r>
      <t xml:space="preserve">Sub Kegiatan </t>
    </r>
    <r>
      <rPr>
        <sz val="10"/>
        <rFont val="Times New Roman"/>
        <family val="1"/>
      </rPr>
      <t>Koordinasi dan Penyusunan Dokumen RKA-SKPD</t>
    </r>
  </si>
  <si>
    <t>1.3</t>
  </si>
  <si>
    <r>
      <t xml:space="preserve">Sub Kegiatan </t>
    </r>
    <r>
      <rPr>
        <sz val="10"/>
        <rFont val="Times New Roman"/>
        <family val="1"/>
      </rPr>
      <t>Koordinasi dan Penyusunan Dokumen Perubahan RKA-SKPD</t>
    </r>
  </si>
  <si>
    <t>1.4</t>
  </si>
  <si>
    <r>
      <t>Sub Kegiatan</t>
    </r>
    <r>
      <rPr>
        <sz val="10"/>
        <rFont val="Times New Roman"/>
        <family val="1"/>
      </rPr>
      <t>Koordinasi dan Penyusunan Dokumen DPA-SKPD</t>
    </r>
  </si>
  <si>
    <t>1.5</t>
  </si>
  <si>
    <r>
      <t xml:space="preserve">Sub Kegiatan </t>
    </r>
    <r>
      <rPr>
        <sz val="10"/>
        <rFont val="Times New Roman"/>
        <family val="1"/>
      </rPr>
      <t>Koordinasi dan Penyusunan Dokumen Perubahan DPA-SKPD</t>
    </r>
  </si>
  <si>
    <t>1.6</t>
  </si>
  <si>
    <t>Sub Kegiatan Koordinasi dan Penyusunan Laporan Capaian Kinerja dan Ikhtisar Realisasi Kinerja SKPD</t>
  </si>
  <si>
    <t>II</t>
  </si>
  <si>
    <t>Kegiatan Administrasi Keuangan Perangkat Daerah</t>
  </si>
  <si>
    <t>2.1</t>
  </si>
  <si>
    <r>
      <t xml:space="preserve">Sub Kegiatan </t>
    </r>
    <r>
      <rPr>
        <sz val="10"/>
        <rFont val="Times New Roman"/>
        <family val="1"/>
      </rPr>
      <t>Penyediaan Gaji dan Tunjangan ASN</t>
    </r>
  </si>
  <si>
    <t>2.2</t>
  </si>
  <si>
    <r>
      <t xml:space="preserve">Sub Kegiatan </t>
    </r>
    <r>
      <rPr>
        <sz val="10"/>
        <rFont val="Times New Roman"/>
        <family val="1"/>
      </rPr>
      <t>Penyediaan Administrasi Pelaksanaan Tugas ASN</t>
    </r>
  </si>
  <si>
    <t>2.3</t>
  </si>
  <si>
    <r>
      <t xml:space="preserve">Sub Kegiatan </t>
    </r>
    <r>
      <rPr>
        <sz val="10"/>
        <rFont val="Times New Roman"/>
        <family val="1"/>
      </rPr>
      <t>Koordinasi dan Penyusunan Laporan Keuangan Akhir Tahun SKPD</t>
    </r>
  </si>
  <si>
    <t>2.4</t>
  </si>
  <si>
    <r>
      <t xml:space="preserve">Sub Kegiatan </t>
    </r>
    <r>
      <rPr>
        <sz val="10"/>
        <rFont val="Times New Roman"/>
        <family val="1"/>
      </rPr>
      <t>Koordinasi dan Penyusunan Laporan Keuangan Bulanan/ Triwulanan/ Semesteran SKPD</t>
    </r>
  </si>
  <si>
    <t>III</t>
  </si>
  <si>
    <t>Kegiatan Administrasi Umum Perangkat Daerah</t>
  </si>
  <si>
    <t>3.1</t>
  </si>
  <si>
    <t>Sub Kegiatan Penyediaan Komponen Instalasi Listrik/ Penerangan Bangunan Kantor</t>
  </si>
  <si>
    <t>3.2</t>
  </si>
  <si>
    <r>
      <t xml:space="preserve">Sub Kegiatan </t>
    </r>
    <r>
      <rPr>
        <sz val="10"/>
        <rFont val="Times New Roman"/>
        <family val="1"/>
      </rPr>
      <t>Penyediaan Peralatan Rumah Tangga</t>
    </r>
  </si>
  <si>
    <t>3.3</t>
  </si>
  <si>
    <r>
      <t xml:space="preserve">Sub Kegiatan </t>
    </r>
    <r>
      <rPr>
        <sz val="10"/>
        <rFont val="Times New Roman"/>
        <family val="1"/>
      </rPr>
      <t>Penyediaan Bahan Logistik Kantor</t>
    </r>
  </si>
  <si>
    <t>3.4</t>
  </si>
  <si>
    <r>
      <t xml:space="preserve">Sub Kegiatan </t>
    </r>
    <r>
      <rPr>
        <sz val="10"/>
        <rFont val="Times New Roman"/>
        <family val="1"/>
      </rPr>
      <t>Penyediaan Barang Cetakan dan Penggandaan</t>
    </r>
  </si>
  <si>
    <t>3.5</t>
  </si>
  <si>
    <r>
      <t xml:space="preserve">Sub Kegiatan </t>
    </r>
    <r>
      <rPr>
        <sz val="10"/>
        <rFont val="Times New Roman"/>
        <family val="1"/>
      </rPr>
      <t>Penyediaan Bahan Bacaan dan Peraturan Perundang-undangan</t>
    </r>
  </si>
  <si>
    <t>3.6</t>
  </si>
  <si>
    <t>Sub Kegiatan Penyediaan Bahan/ Material</t>
  </si>
  <si>
    <t>-</t>
  </si>
  <si>
    <t>3.7</t>
  </si>
  <si>
    <t>Sub Kegiatan Fasilitasi Kunjungan Tamu</t>
  </si>
  <si>
    <t>3.8</t>
  </si>
  <si>
    <t>Sub Kegiatan Penyelenggaraan Rapat Koordinasi dan Konsultasi SKPD</t>
  </si>
  <si>
    <t>IV</t>
  </si>
  <si>
    <t>4.1</t>
  </si>
  <si>
    <t>Sub Kegiatan Pengadaan Mebel</t>
  </si>
  <si>
    <t>4.2</t>
  </si>
  <si>
    <t>Sub Kegiatan Pengadaan Peralatan dan Mesin Lainnya</t>
  </si>
  <si>
    <t>V</t>
  </si>
  <si>
    <t>Penyediaan Jasa Penunjang Urusan Pemerintah Daerah</t>
  </si>
  <si>
    <t>5.1</t>
  </si>
  <si>
    <t>Sub Kegiatan Penyediaan Jasa Komunikasi, Sumber Daya Air dan Listrik</t>
  </si>
  <si>
    <r>
      <t xml:space="preserve">Sub Kegiatan </t>
    </r>
    <r>
      <rPr>
        <sz val="10"/>
        <rFont val="Times New Roman"/>
        <family val="1"/>
      </rPr>
      <t>Penyediaan Jasa Peralatan dan Perlengkapan Kantor</t>
    </r>
  </si>
  <si>
    <t>5.3</t>
  </si>
  <si>
    <r>
      <t xml:space="preserve">Sub Kegiatan </t>
    </r>
    <r>
      <rPr>
        <sz val="10"/>
        <rFont val="Times New Roman"/>
        <family val="1"/>
      </rPr>
      <t>Penyediaan Pelayanan Umum Kantor</t>
    </r>
  </si>
  <si>
    <t>VI</t>
  </si>
  <si>
    <t>Kegiatan Pemeliharaan Barang Milik  Daerah Penunjang Urusan Pemerinah</t>
  </si>
  <si>
    <t>6.1</t>
  </si>
  <si>
    <r>
      <t xml:space="preserve">Sub Kegiatan </t>
    </r>
    <r>
      <rPr>
        <sz val="10"/>
        <rFont val="Times New Roman"/>
        <family val="1"/>
      </rPr>
      <t>Penyediaan Jasa Pemeliharaan, Biaya Pemeliharaan dan Pajak Kendaraan peorangan Dinas atau kendaraan Dinas Jabatan</t>
    </r>
  </si>
  <si>
    <t>6.2</t>
  </si>
  <si>
    <t>6.3</t>
  </si>
  <si>
    <r>
      <t xml:space="preserve">Sub Kegiatan </t>
    </r>
    <r>
      <rPr>
        <sz val="10"/>
        <rFont val="Times New Roman"/>
        <family val="1"/>
      </rPr>
      <t>Pemeliharaan/ rehabilitasi gedung kantor dan bangunan lainnya</t>
    </r>
  </si>
  <si>
    <t>B</t>
  </si>
  <si>
    <t>PROGRAM INFORMASI DAN KOMUNIKASI PUBLIK</t>
  </si>
  <si>
    <t>VII</t>
  </si>
  <si>
    <t>Kegiatan Pengelolaan Informasi dan Komunikasi PublikPemerintah Daerah Kabupaten/Kota</t>
  </si>
  <si>
    <t>7.1</t>
  </si>
  <si>
    <r>
      <t xml:space="preserve">Sub Kegiatan </t>
    </r>
    <r>
      <rPr>
        <sz val="10"/>
        <color rgb="FF000000"/>
        <rFont val="Arial"/>
        <family val="2"/>
      </rPr>
      <t>Relasi Media</t>
    </r>
  </si>
  <si>
    <t>7.2</t>
  </si>
  <si>
    <t>Sub Kegiatan Kemitraan Komunikasi dengan Komunitas Informasi Masyarakat</t>
  </si>
  <si>
    <t>7.3</t>
  </si>
  <si>
    <r>
      <t xml:space="preserve">Sub Kegiatan </t>
    </r>
    <r>
      <rPr>
        <sz val="10"/>
        <color rgb="FF000000"/>
        <rFont val="Times New Roman"/>
        <family val="1"/>
      </rPr>
      <t>Pelayanan Informasi  Publik</t>
    </r>
  </si>
  <si>
    <t>7.4</t>
  </si>
  <si>
    <r>
      <t xml:space="preserve">Sub Kegiatan </t>
    </r>
    <r>
      <rPr>
        <sz val="10"/>
        <color rgb="FF000000"/>
        <rFont val="Arial"/>
        <family val="2"/>
      </rPr>
      <t>Monitoring Informasi Kebijakan, Opini, dan Aspirasi Publik</t>
    </r>
  </si>
  <si>
    <t>7.5</t>
  </si>
  <si>
    <r>
      <t xml:space="preserve">Sub Kegiatan </t>
    </r>
    <r>
      <rPr>
        <sz val="10"/>
        <color rgb="FF000000"/>
        <rFont val="Arial"/>
        <family val="2"/>
      </rPr>
      <t>Diseminasi Informasi</t>
    </r>
  </si>
  <si>
    <t>7.6</t>
  </si>
  <si>
    <r>
      <t xml:space="preserve">Sub Kegiatan </t>
    </r>
    <r>
      <rPr>
        <sz val="10"/>
        <color rgb="FF000000"/>
        <rFont val="Arial"/>
        <family val="2"/>
      </rPr>
      <t>Pengelolaan Media Komunikasi Publik</t>
    </r>
  </si>
  <si>
    <t>7.7</t>
  </si>
  <si>
    <r>
      <t xml:space="preserve">Sub Kegiatan </t>
    </r>
    <r>
      <rPr>
        <sz val="10"/>
        <color rgb="FF000000"/>
        <rFont val="Arial"/>
        <family val="2"/>
      </rPr>
      <t>Penyusunan Konten</t>
    </r>
  </si>
  <si>
    <t>7.8</t>
  </si>
  <si>
    <t>Sub Kegiatan Penguatan Kapasitas Sumber Daya Komunikasi Publik</t>
  </si>
  <si>
    <t>C</t>
  </si>
  <si>
    <t>VIII</t>
  </si>
  <si>
    <t>Kegiatan Pengelolaan e-government dilingkup Pemerintah Daerah Kabupaten/Kota</t>
  </si>
  <si>
    <t>8.1</t>
  </si>
  <si>
    <t>Sub Kegiatan Koordinasi Pelaksanaan Manajemen SPBE</t>
  </si>
  <si>
    <t>8.2</t>
  </si>
  <si>
    <t>Sub Kegiatan Penyelenggaraan Jaringan Intra Pemerintah Daerah Kab/Kota</t>
  </si>
  <si>
    <t>8.3</t>
  </si>
  <si>
    <t>Sub Kegiatan Penyelenggaraan Sistem Penghubung Layanan Pemerintah</t>
  </si>
  <si>
    <t>8.4</t>
  </si>
  <si>
    <t>Sub Kegiatan Koordinasi dan Fasilitasi Penyelenggaraan Kabupaten/ Kota Cerdas</t>
  </si>
  <si>
    <t>D</t>
  </si>
  <si>
    <t>IX</t>
  </si>
  <si>
    <t>Penyelenggaraan Statistik Sektoral dilingkup Daerah Kabupaten/Kota</t>
  </si>
  <si>
    <t>9.1</t>
  </si>
  <si>
    <t>Sub Kegiatan Pengelolaan Kegiatan Statistik Sektoral Dalam Sistem Statistik Nasional</t>
  </si>
  <si>
    <t>9.2</t>
  </si>
  <si>
    <t>Sub Kegiatan Peningkatan Kualitas Statistik Sektoral</t>
  </si>
  <si>
    <t>9.3</t>
  </si>
  <si>
    <t>Sub Kegiatan Pengingkatan Kapasitas Kelembagaan Statistik Sektoral</t>
  </si>
  <si>
    <t>E</t>
  </si>
  <si>
    <t>X</t>
  </si>
  <si>
    <t>Kegiatan Penyelenggaraan Persandian Untuk Pengamanan Informasi</t>
  </si>
  <si>
    <t>10.1</t>
  </si>
  <si>
    <t>Sub Kegiatan Pelaksanaan Keamanaan Informasi Pemerintahan Daerah Kabupaten/Kota Berbasis Elektronik dan Non Elektronik</t>
  </si>
  <si>
    <t>10.2</t>
  </si>
  <si>
    <t>Sub Kegiatan Penyediaan Layanan Keamanan Informasi Pemerintah Daerah Kab/Kota</t>
  </si>
  <si>
    <t>XI</t>
  </si>
  <si>
    <t>Kegiatan Penetapan Pola Hubungan Komunikasi Sandi antar Perangkat Daerah Kabupaten/Kota</t>
  </si>
  <si>
    <t>11.1</t>
  </si>
  <si>
    <t>Sub Kegiatan Operasionalisasi Layanan Keamanan Informasi dan Persandian Pemerintah Daerah</t>
  </si>
  <si>
    <t>SELISIH PAGU SEBELUM DAN SESUDAH</t>
  </si>
  <si>
    <t>RINCIAN</t>
  </si>
  <si>
    <t>atk, kertas bahan komputer</t>
  </si>
  <si>
    <t>belanja pegawai pns sebanyak 21 orang</t>
  </si>
  <si>
    <t>honor pengguna anggaran, pptk sekretariat, bendahara barang, bendahara pengeluaran</t>
  </si>
  <si>
    <t>atk, kertas bahan komputer, lembur</t>
  </si>
  <si>
    <t>lampu, kabel, dll</t>
  </si>
  <si>
    <t>belanja alat kebersihan</t>
  </si>
  <si>
    <t>pembayaran kontrak media cetak/koran</t>
  </si>
  <si>
    <t>makan minum rapat</t>
  </si>
  <si>
    <t>perjadin luar daerah dan kecamatan</t>
  </si>
  <si>
    <t>belanja meuble kantor</t>
  </si>
  <si>
    <t>belanja server, keamanan server, laptop, pc all in one, alat alat radio</t>
  </si>
  <si>
    <t>pembayaran rutin listrik air dan telepon</t>
  </si>
  <si>
    <t>belanja dekor</t>
  </si>
  <si>
    <t>gaji p3k pw, honor pjlp, lembur, atk, kertas, bahan komputer</t>
  </si>
  <si>
    <r>
      <t xml:space="preserve">Sub Kegiatan </t>
    </r>
    <r>
      <rPr>
        <sz val="10"/>
        <rFont val="Times New Roman"/>
        <family val="1"/>
      </rPr>
      <t>Pemeliharaan Peralatan dan Mesin Lainnya</t>
    </r>
  </si>
  <si>
    <t>pemeliharaan kendaraan dinas, pajak kendaraan dinas, dan bbm kendaraan dinas</t>
  </si>
  <si>
    <t>belanja pemeliharaan 2 gedung</t>
  </si>
  <si>
    <t>kontrak media cetak dan online, publikasi, pelatihan jurnalistik, honor pptk bidang informasi publik</t>
  </si>
  <si>
    <t>kertas dan bahan komputer</t>
  </si>
  <si>
    <t>cetak banner, atk, kertas, bahan komputer, desain kalender</t>
  </si>
  <si>
    <t>atk, kertas, bahan komputer, makan minum rapat, honor narasumber, perjadin</t>
  </si>
  <si>
    <t>honor tim peliput, atk, perjadin</t>
  </si>
  <si>
    <t>honor tenaga ahli bidang komunikasi publik, atk, kertas, bhn komputer, perjadin</t>
  </si>
  <si>
    <t>honor tim radio dbfm, atk, kertas, bhn komputer, makan minum rapat, belanja jasa pihak ketiga, hnr pptk bidang komunikasi publik</t>
  </si>
  <si>
    <t>atk, kertas bahan komputer, lembur, makan minum rapat, perjadin</t>
  </si>
  <si>
    <t>pembayaran langganan internet, honor pptk bidang spbe</t>
  </si>
  <si>
    <t>belanja lisensi aplikasi seperti zoom, vmix, claude ai, ubuntu serve dan ssl, sewa video tron dekor serta makan minum untuk launching halo lamsel</t>
  </si>
  <si>
    <t>honor tenaga ahli bidang spbe, atk, kertas</t>
  </si>
  <si>
    <t>atk, kertas, bhn komputer, lembur, perjadin</t>
  </si>
  <si>
    <t>atk, kertas, bhn komputer, honor tenaga ahli bidang statistik, honor pptk</t>
  </si>
  <si>
    <t>atk, makan minum rapat, honor narasumber</t>
  </si>
  <si>
    <t>atk, kertas, bhn komputer perjadin</t>
  </si>
  <si>
    <t>atk, honor tenaga ahli cyber security, perjadin</t>
  </si>
  <si>
    <t>atk, honor pptk, perjadin</t>
  </si>
  <si>
    <t>pergeseran virtual tour untuk penambahan gaji tenaga ahli</t>
  </si>
  <si>
    <t>pengurangan gaji tpp dan honor pembantu bendahara</t>
  </si>
  <si>
    <t>penambahan belanja modal</t>
  </si>
  <si>
    <t>penambahan pemeliharaan</t>
  </si>
  <si>
    <t>penambahan honor tenaga ahli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</si>
</sst>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p.&quot;#,##0.00"/>
    <numFmt numFmtId="165" formatCode="_-&quot;Rp&quot;* #,##0_-;\-&quot;Rp&quot;* #,##0_-;_-&quot;Rp&quot;* &quot;-&quot;??_-;_-@_-"/>
    <numFmt numFmtId="166" formatCode="&quot;Rp&quot;#,##0"/>
    <numFmt numFmtId="167" formatCode="&quot;Rp&quot;#,##0.00"/>
  </numFmts>
  <fonts count="56">
    <font>
      <sz val="11"/>
      <name val="Calibri"/>
    </font>
    <font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sz val="10"/>
      <name val="Calibri"/>
    </font>
    <font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2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name val="Calibri"/>
      <family val="2"/>
    </font>
    <font>
      <sz val="16"/>
      <color rgb="FF000000"/>
      <name val="Calibri"/>
      <family val="2"/>
    </font>
    <font>
      <sz val="18"/>
      <name val="Calibri"/>
      <family val="2"/>
    </font>
    <font>
      <sz val="18"/>
      <color rgb="FF000000"/>
      <name val="Calibri"/>
      <family val="2"/>
    </font>
    <font>
      <sz val="22"/>
      <name val="Calibri"/>
      <family val="2"/>
    </font>
    <font>
      <sz val="22"/>
      <color rgb="FF000000"/>
      <name val="Calibri"/>
      <family val="2"/>
    </font>
    <font>
      <sz val="1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4" fontId="6" fillId="0" borderId="3" xfId="0" applyNumberFormat="1" applyFont="1" applyFill="1" applyBorder="1" applyAlignment="1">
      <alignment horizontal="right" vertical="center" wrapText="1"/>
    </xf>
    <xf numFmtId="164" fontId="7" fillId="0" borderId="4" xfId="0" applyNumberFormat="1" applyFont="1" applyFill="1" applyBorder="1" applyAlignment="1">
      <alignment horizontal="righ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164" fontId="10" fillId="0" borderId="7" xfId="0" applyNumberFormat="1" applyFont="1" applyFill="1" applyBorder="1" applyAlignment="1">
      <alignment horizontal="right" vertical="center" wrapText="1"/>
    </xf>
    <xf numFmtId="164" fontId="11" fillId="0" borderId="8" xfId="0" applyNumberFormat="1" applyFont="1" applyFill="1" applyBorder="1" applyAlignment="1">
      <alignment horizontal="right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164" fontId="14" fillId="0" borderId="11" xfId="0" applyNumberFormat="1" applyFont="1" applyFill="1" applyBorder="1" applyAlignment="1">
      <alignment horizontal="right" vertical="center" wrapText="1"/>
    </xf>
    <xf numFmtId="164" fontId="15" fillId="0" borderId="12" xfId="0" applyNumberFormat="1" applyFont="1" applyFill="1" applyBorder="1" applyAlignment="1">
      <alignment horizontal="right" vertical="center" wrapText="1"/>
    </xf>
    <xf numFmtId="0" fontId="16" fillId="0" borderId="13" xfId="0" applyFont="1" applyFill="1" applyBorder="1" applyAlignment="1">
      <alignment horizontal="left" vertical="center" wrapText="1"/>
    </xf>
    <xf numFmtId="0" fontId="17" fillId="0" borderId="14" xfId="0" applyFont="1" applyFill="1" applyBorder="1" applyAlignment="1">
      <alignment horizontal="left" vertical="center" wrapText="1"/>
    </xf>
    <xf numFmtId="164" fontId="18" fillId="0" borderId="15" xfId="0" applyNumberFormat="1" applyFont="1" applyFill="1" applyBorder="1" applyAlignment="1">
      <alignment horizontal="right" vertical="center" wrapText="1"/>
    </xf>
    <xf numFmtId="164" fontId="19" fillId="0" borderId="16" xfId="0" applyNumberFormat="1" applyFont="1" applyFill="1" applyBorder="1" applyAlignment="1">
      <alignment horizontal="right" vertical="center" wrapText="1"/>
    </xf>
    <xf numFmtId="0" fontId="20" fillId="0" borderId="17" xfId="0" applyFont="1" applyFill="1" applyBorder="1" applyAlignment="1">
      <alignment horizontal="left" vertical="center" wrapText="1"/>
    </xf>
    <xf numFmtId="164" fontId="21" fillId="0" borderId="18" xfId="0" applyNumberFormat="1" applyFont="1" applyFill="1" applyBorder="1" applyAlignment="1">
      <alignment horizontal="right" vertical="center" wrapText="1"/>
    </xf>
    <xf numFmtId="0" fontId="22" fillId="0" borderId="19" xfId="0" applyFont="1" applyFill="1" applyBorder="1" applyAlignment="1">
      <alignment horizontal="left" vertical="center" wrapText="1"/>
    </xf>
    <xf numFmtId="0" fontId="23" fillId="0" borderId="20" xfId="0" applyFont="1" applyFill="1" applyBorder="1" applyAlignment="1">
      <alignment horizontal="left" vertical="center" wrapText="1"/>
    </xf>
    <xf numFmtId="164" fontId="24" fillId="0" borderId="21" xfId="0" applyNumberFormat="1" applyFont="1" applyFill="1" applyBorder="1" applyAlignment="1">
      <alignment horizontal="right" vertical="center" wrapText="1"/>
    </xf>
    <xf numFmtId="164" fontId="25" fillId="0" borderId="22" xfId="0" applyNumberFormat="1" applyFont="1" applyFill="1" applyBorder="1" applyAlignment="1">
      <alignment horizontal="right" vertical="center" wrapText="1"/>
    </xf>
    <xf numFmtId="0" fontId="26" fillId="0" borderId="23" xfId="0" applyFont="1" applyFill="1" applyBorder="1" applyAlignment="1">
      <alignment horizontal="left" vertical="center" wrapText="1"/>
    </xf>
    <xf numFmtId="0" fontId="27" fillId="0" borderId="24" xfId="0" applyFont="1" applyFill="1" applyBorder="1" applyAlignment="1">
      <alignment horizontal="left" vertical="center" wrapText="1"/>
    </xf>
    <xf numFmtId="164" fontId="28" fillId="0" borderId="25" xfId="0" applyNumberFormat="1" applyFont="1" applyFill="1" applyBorder="1" applyAlignment="1">
      <alignment horizontal="right" vertical="center" wrapText="1"/>
    </xf>
    <xf numFmtId="164" fontId="29" fillId="0" borderId="26" xfId="0" applyNumberFormat="1" applyFont="1" applyFill="1" applyBorder="1" applyAlignment="1">
      <alignment horizontal="right" vertical="center" wrapText="1"/>
    </xf>
    <xf numFmtId="164" fontId="14" fillId="0" borderId="27" xfId="0" applyNumberFormat="1" applyFont="1" applyFill="1" applyBorder="1" applyAlignment="1">
      <alignment horizontal="right" vertical="center" wrapText="1"/>
    </xf>
    <xf numFmtId="164" fontId="21" fillId="0" borderId="27" xfId="0" applyNumberFormat="1" applyFont="1" applyFill="1" applyBorder="1" applyAlignment="1">
      <alignment horizontal="right" vertical="center" wrapText="1"/>
    </xf>
    <xf numFmtId="164" fontId="28" fillId="0" borderId="27" xfId="0" applyNumberFormat="1" applyFont="1" applyFill="1" applyBorder="1" applyAlignment="1">
      <alignment horizontal="right" vertical="center" wrapText="1"/>
    </xf>
    <xf numFmtId="164" fontId="24" fillId="0" borderId="27" xfId="0" applyNumberFormat="1" applyFont="1" applyFill="1" applyBorder="1" applyAlignment="1">
      <alignment horizontal="right" vertical="center" wrapText="1"/>
    </xf>
    <xf numFmtId="164" fontId="18" fillId="0" borderId="27" xfId="0" applyNumberFormat="1" applyFont="1" applyFill="1" applyBorder="1" applyAlignment="1">
      <alignment horizontal="right" vertical="center" wrapText="1"/>
    </xf>
    <xf numFmtId="164" fontId="10" fillId="0" borderId="27" xfId="0" applyNumberFormat="1" applyFont="1" applyFill="1" applyBorder="1" applyAlignment="1">
      <alignment horizontal="right" vertical="center" wrapText="1"/>
    </xf>
    <xf numFmtId="165" fontId="7" fillId="0" borderId="27" xfId="0" applyNumberFormat="1" applyFont="1" applyFill="1" applyBorder="1" applyAlignment="1">
      <alignment horizontal="right" vertical="center" wrapText="1"/>
    </xf>
    <xf numFmtId="165" fontId="11" fillId="0" borderId="27" xfId="0" applyNumberFormat="1" applyFont="1" applyFill="1" applyBorder="1" applyAlignment="1">
      <alignment horizontal="right" vertical="center" wrapText="1"/>
    </xf>
    <xf numFmtId="165" fontId="19" fillId="0" borderId="27" xfId="0" applyNumberFormat="1" applyFont="1" applyFill="1" applyBorder="1" applyAlignment="1">
      <alignment horizontal="right" vertical="center" wrapText="1"/>
    </xf>
    <xf numFmtId="165" fontId="14" fillId="0" borderId="27" xfId="0" applyNumberFormat="1" applyFont="1" applyFill="1" applyBorder="1" applyAlignment="1">
      <alignment horizontal="right" vertical="center" wrapText="1"/>
    </xf>
    <xf numFmtId="165" fontId="21" fillId="0" borderId="27" xfId="0" applyNumberFormat="1" applyFont="1" applyFill="1" applyBorder="1" applyAlignment="1">
      <alignment horizontal="right" vertical="center" wrapText="1"/>
    </xf>
    <xf numFmtId="165" fontId="29" fillId="0" borderId="27" xfId="0" applyNumberFormat="1" applyFont="1" applyFill="1" applyBorder="1" applyAlignment="1">
      <alignment horizontal="right" vertical="center" wrapText="1"/>
    </xf>
    <xf numFmtId="164" fontId="21" fillId="4" borderId="18" xfId="0" applyNumberFormat="1" applyFont="1" applyFill="1" applyBorder="1" applyAlignment="1">
      <alignment horizontal="right" vertical="center" wrapText="1"/>
    </xf>
    <xf numFmtId="164" fontId="21" fillId="5" borderId="18" xfId="0" applyNumberFormat="1" applyFont="1" applyFill="1" applyBorder="1" applyAlignment="1">
      <alignment horizontal="right" vertical="center" wrapText="1"/>
    </xf>
    <xf numFmtId="164" fontId="21" fillId="6" borderId="18" xfId="0" applyNumberFormat="1" applyFont="1" applyFill="1" applyBorder="1" applyAlignment="1">
      <alignment horizontal="right" vertical="center" wrapText="1"/>
    </xf>
    <xf numFmtId="165" fontId="28" fillId="0" borderId="27" xfId="0" applyNumberFormat="1" applyFont="1" applyFill="1" applyBorder="1" applyAlignment="1">
      <alignment horizontal="right" vertical="center" wrapText="1"/>
    </xf>
    <xf numFmtId="164" fontId="28" fillId="4" borderId="25" xfId="0" applyNumberFormat="1" applyFont="1" applyFill="1" applyBorder="1" applyAlignment="1">
      <alignment horizontal="right" vertical="center" wrapText="1"/>
    </xf>
    <xf numFmtId="164" fontId="28" fillId="5" borderId="25" xfId="0" applyNumberFormat="1" applyFont="1" applyFill="1" applyBorder="1" applyAlignment="1">
      <alignment horizontal="right" vertical="center" wrapText="1"/>
    </xf>
    <xf numFmtId="164" fontId="28" fillId="6" borderId="25" xfId="0" applyNumberFormat="1" applyFont="1" applyFill="1" applyBorder="1" applyAlignment="1">
      <alignment horizontal="right" vertical="center" wrapText="1"/>
    </xf>
    <xf numFmtId="165" fontId="24" fillId="0" borderId="27" xfId="0" applyNumberFormat="1" applyFont="1" applyFill="1" applyBorder="1" applyAlignment="1">
      <alignment horizontal="right" vertical="center" wrapText="1"/>
    </xf>
    <xf numFmtId="0" fontId="1" fillId="0" borderId="17" xfId="0" applyFont="1" applyFill="1" applyBorder="1" applyAlignment="1">
      <alignment horizontal="left" vertical="center" wrapText="1"/>
    </xf>
    <xf numFmtId="164" fontId="14" fillId="6" borderId="11" xfId="0" applyNumberFormat="1" applyFont="1" applyFill="1" applyBorder="1" applyAlignment="1">
      <alignment horizontal="right" vertical="center" wrapText="1"/>
    </xf>
    <xf numFmtId="164" fontId="24" fillId="6" borderId="21" xfId="0" applyNumberFormat="1" applyFont="1" applyFill="1" applyBorder="1" applyAlignment="1">
      <alignment horizontal="right" vertical="center" wrapText="1"/>
    </xf>
    <xf numFmtId="0" fontId="2" fillId="3" borderId="28" xfId="0" applyFont="1" applyFill="1" applyBorder="1" applyAlignment="1">
      <alignment horizontal="center" vertical="center" wrapText="1"/>
    </xf>
    <xf numFmtId="164" fontId="0" fillId="0" borderId="0" xfId="0" applyNumberFormat="1"/>
    <xf numFmtId="10" fontId="0" fillId="0" borderId="0" xfId="0" applyNumberFormat="1"/>
    <xf numFmtId="0" fontId="0" fillId="5" borderId="0" xfId="0" applyFill="1"/>
    <xf numFmtId="0" fontId="0" fillId="7" borderId="0" xfId="0" applyFill="1"/>
    <xf numFmtId="10" fontId="0" fillId="7" borderId="0" xfId="0" applyNumberFormat="1" applyFill="1"/>
    <xf numFmtId="0" fontId="36" fillId="0" borderId="29" xfId="0" applyFont="1" applyBorder="1" applyAlignment="1">
      <alignment horizontal="left"/>
    </xf>
    <xf numFmtId="166" fontId="36" fillId="0" borderId="29" xfId="0" applyNumberFormat="1" applyFont="1" applyBorder="1" applyAlignment="1">
      <alignment horizontal="right"/>
    </xf>
    <xf numFmtId="0" fontId="37" fillId="0" borderId="0" xfId="0" applyFont="1"/>
    <xf numFmtId="0" fontId="37" fillId="5" borderId="0" xfId="0" applyFont="1" applyFill="1"/>
    <xf numFmtId="0" fontId="37" fillId="7" borderId="0" xfId="0" applyFont="1" applyFill="1"/>
    <xf numFmtId="0" fontId="38" fillId="0" borderId="29" xfId="0" applyFont="1" applyBorder="1" applyAlignment="1">
      <alignment horizontal="left"/>
    </xf>
    <xf numFmtId="166" fontId="38" fillId="0" borderId="29" xfId="0" applyNumberFormat="1" applyFont="1" applyBorder="1" applyAlignment="1">
      <alignment horizontal="right"/>
    </xf>
    <xf numFmtId="10" fontId="37" fillId="5" borderId="0" xfId="0" applyNumberFormat="1" applyFont="1" applyFill="1"/>
    <xf numFmtId="10" fontId="37" fillId="7" borderId="0" xfId="0" applyNumberFormat="1" applyFont="1" applyFill="1"/>
    <xf numFmtId="0" fontId="39" fillId="0" borderId="0" xfId="0" applyFont="1"/>
    <xf numFmtId="0" fontId="39" fillId="5" borderId="0" xfId="0" applyFont="1" applyFill="1"/>
    <xf numFmtId="0" fontId="39" fillId="7" borderId="0" xfId="0" applyFont="1" applyFill="1"/>
    <xf numFmtId="0" fontId="40" fillId="0" borderId="29" xfId="0" applyFont="1" applyBorder="1" applyAlignment="1">
      <alignment horizontal="left"/>
    </xf>
    <xf numFmtId="166" fontId="40" fillId="0" borderId="29" xfId="0" applyNumberFormat="1" applyFont="1" applyBorder="1" applyAlignment="1">
      <alignment horizontal="right"/>
    </xf>
    <xf numFmtId="10" fontId="39" fillId="5" borderId="0" xfId="0" applyNumberFormat="1" applyFont="1" applyFill="1"/>
    <xf numFmtId="10" fontId="39" fillId="7" borderId="0" xfId="0" applyNumberFormat="1" applyFont="1" applyFill="1"/>
    <xf numFmtId="0" fontId="42" fillId="0" borderId="29" xfId="0" applyFont="1" applyBorder="1" applyAlignment="1">
      <alignment horizontal="left"/>
    </xf>
    <xf numFmtId="166" fontId="42" fillId="0" borderId="29" xfId="0" applyNumberFormat="1" applyFont="1" applyBorder="1" applyAlignment="1">
      <alignment horizontal="right"/>
    </xf>
    <xf numFmtId="10" fontId="41" fillId="5" borderId="0" xfId="0" applyNumberFormat="1" applyFont="1" applyFill="1"/>
    <xf numFmtId="10" fontId="41" fillId="7" borderId="0" xfId="0" applyNumberFormat="1" applyFont="1" applyFill="1"/>
    <xf numFmtId="0" fontId="43" fillId="0" borderId="0" xfId="0" applyFont="1"/>
    <xf numFmtId="0" fontId="43" fillId="5" borderId="0" xfId="0" applyFont="1" applyFill="1"/>
    <xf numFmtId="0" fontId="43" fillId="7" borderId="0" xfId="0" applyFont="1" applyFill="1"/>
    <xf numFmtId="0" fontId="44" fillId="0" borderId="29" xfId="0" applyFont="1" applyBorder="1" applyAlignment="1">
      <alignment horizontal="left"/>
    </xf>
    <xf numFmtId="166" fontId="44" fillId="0" borderId="29" xfId="0" applyNumberFormat="1" applyFont="1" applyBorder="1" applyAlignment="1">
      <alignment horizontal="right"/>
    </xf>
    <xf numFmtId="10" fontId="43" fillId="5" borderId="0" xfId="0" applyNumberFormat="1" applyFont="1" applyFill="1"/>
    <xf numFmtId="10" fontId="43" fillId="7" borderId="0" xfId="0" applyNumberFormat="1" applyFont="1" applyFill="1"/>
    <xf numFmtId="0" fontId="48" fillId="8" borderId="35" xfId="0" applyFont="1" applyFill="1" applyBorder="1" applyAlignment="1">
      <alignment horizontal="center" vertical="center" wrapText="1"/>
    </xf>
    <xf numFmtId="0" fontId="49" fillId="8" borderId="33" xfId="0" applyFont="1" applyFill="1" applyBorder="1" applyAlignment="1">
      <alignment horizontal="center" vertical="center" wrapText="1"/>
    </xf>
    <xf numFmtId="0" fontId="49" fillId="8" borderId="35" xfId="0" applyFont="1" applyFill="1" applyBorder="1" applyAlignment="1">
      <alignment horizontal="center" vertical="center" wrapText="1"/>
    </xf>
    <xf numFmtId="0" fontId="48" fillId="0" borderId="33" xfId="0" applyFont="1" applyBorder="1" applyAlignment="1">
      <alignment horizontal="center" vertical="center" wrapText="1"/>
    </xf>
    <xf numFmtId="0" fontId="50" fillId="0" borderId="35" xfId="0" applyFont="1" applyBorder="1" applyAlignment="1">
      <alignment vertical="center" wrapText="1"/>
    </xf>
    <xf numFmtId="0" fontId="52" fillId="0" borderId="33" xfId="0" applyFont="1" applyBorder="1" applyAlignment="1">
      <alignment horizontal="center" vertical="center" wrapText="1"/>
    </xf>
    <xf numFmtId="0" fontId="45" fillId="0" borderId="35" xfId="0" applyFont="1" applyBorder="1" applyAlignment="1">
      <alignment vertical="center" wrapText="1"/>
    </xf>
    <xf numFmtId="0" fontId="45" fillId="0" borderId="35" xfId="0" applyFont="1" applyBorder="1" applyAlignment="1">
      <alignment horizontal="right" vertical="center" wrapText="1"/>
    </xf>
    <xf numFmtId="0" fontId="52" fillId="0" borderId="35" xfId="0" applyFont="1" applyBorder="1" applyAlignment="1">
      <alignment vertical="center" wrapText="1"/>
    </xf>
    <xf numFmtId="0" fontId="48" fillId="0" borderId="35" xfId="0" applyFont="1" applyBorder="1" applyAlignment="1">
      <alignment vertical="center" wrapText="1"/>
    </xf>
    <xf numFmtId="0" fontId="45" fillId="0" borderId="33" xfId="0" applyFont="1" applyBorder="1" applyAlignment="1">
      <alignment horizontal="center" vertical="center" wrapText="1"/>
    </xf>
    <xf numFmtId="164" fontId="50" fillId="0" borderId="35" xfId="0" applyNumberFormat="1" applyFont="1" applyBorder="1" applyAlignment="1">
      <alignment horizontal="right" vertical="center" wrapText="1"/>
    </xf>
    <xf numFmtId="164" fontId="48" fillId="0" borderId="35" xfId="0" applyNumberFormat="1" applyFont="1" applyBorder="1" applyAlignment="1">
      <alignment horizontal="right" vertical="center" wrapText="1"/>
    </xf>
    <xf numFmtId="166" fontId="50" fillId="0" borderId="35" xfId="0" applyNumberFormat="1" applyFont="1" applyBorder="1" applyAlignment="1">
      <alignment horizontal="right" vertical="center" wrapText="1"/>
    </xf>
    <xf numFmtId="10" fontId="50" fillId="0" borderId="35" xfId="0" applyNumberFormat="1" applyFont="1" applyBorder="1" applyAlignment="1">
      <alignment horizontal="right" vertical="center" wrapText="1"/>
    </xf>
    <xf numFmtId="166" fontId="51" fillId="0" borderId="35" xfId="0" applyNumberFormat="1" applyFont="1" applyBorder="1" applyAlignment="1">
      <alignment horizontal="right" vertical="center" wrapText="1"/>
    </xf>
    <xf numFmtId="164" fontId="45" fillId="0" borderId="35" xfId="0" applyNumberFormat="1" applyFont="1" applyBorder="1" applyAlignment="1">
      <alignment horizontal="right" vertical="center" wrapText="1"/>
    </xf>
    <xf numFmtId="166" fontId="45" fillId="0" borderId="35" xfId="0" applyNumberFormat="1" applyFont="1" applyBorder="1" applyAlignment="1">
      <alignment horizontal="right" vertical="center" wrapText="1"/>
    </xf>
    <xf numFmtId="10" fontId="45" fillId="0" borderId="35" xfId="0" applyNumberFormat="1" applyFont="1" applyBorder="1" applyAlignment="1">
      <alignment horizontal="right" vertical="center" wrapText="1"/>
    </xf>
    <xf numFmtId="164" fontId="51" fillId="0" borderId="35" xfId="0" applyNumberFormat="1" applyFont="1" applyBorder="1" applyAlignment="1">
      <alignment horizontal="right" vertical="center" wrapText="1"/>
    </xf>
    <xf numFmtId="10" fontId="51" fillId="0" borderId="35" xfId="0" applyNumberFormat="1" applyFont="1" applyBorder="1" applyAlignment="1">
      <alignment horizontal="right" vertical="center" wrapText="1"/>
    </xf>
    <xf numFmtId="0" fontId="49" fillId="8" borderId="39" xfId="0" applyFont="1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/>
    </xf>
    <xf numFmtId="166" fontId="54" fillId="0" borderId="35" xfId="0" applyNumberFormat="1" applyFont="1" applyBorder="1" applyAlignment="1">
      <alignment horizontal="right" vertical="center" wrapText="1"/>
    </xf>
    <xf numFmtId="10" fontId="54" fillId="0" borderId="35" xfId="0" applyNumberFormat="1" applyFont="1" applyBorder="1" applyAlignment="1">
      <alignment horizontal="right" vertical="center" wrapText="1"/>
    </xf>
    <xf numFmtId="167" fontId="55" fillId="0" borderId="35" xfId="0" applyNumberFormat="1" applyFont="1" applyBorder="1" applyAlignment="1">
      <alignment horizontal="right" vertical="center" wrapText="1"/>
    </xf>
    <xf numFmtId="10" fontId="48" fillId="0" borderId="35" xfId="0" applyNumberFormat="1" applyFont="1" applyBorder="1" applyAlignment="1">
      <alignment horizontal="right" vertical="center" wrapText="1"/>
    </xf>
    <xf numFmtId="166" fontId="50" fillId="0" borderId="39" xfId="0" applyNumberFormat="1" applyFont="1" applyBorder="1" applyAlignment="1">
      <alignment horizontal="right" vertical="center" wrapText="1"/>
    </xf>
    <xf numFmtId="166" fontId="45" fillId="0" borderId="39" xfId="0" applyNumberFormat="1" applyFont="1" applyBorder="1" applyAlignment="1">
      <alignment horizontal="right" vertical="center" wrapText="1"/>
    </xf>
    <xf numFmtId="166" fontId="51" fillId="0" borderId="39" xfId="0" applyNumberFormat="1" applyFont="1" applyBorder="1" applyAlignment="1">
      <alignment horizontal="right" vertical="center" wrapText="1"/>
    </xf>
    <xf numFmtId="0" fontId="45" fillId="0" borderId="39" xfId="0" applyFont="1" applyBorder="1" applyAlignment="1">
      <alignment horizontal="right" vertical="center" wrapText="1"/>
    </xf>
    <xf numFmtId="166" fontId="54" fillId="0" borderId="39" xfId="0" applyNumberFormat="1" applyFont="1" applyBorder="1" applyAlignment="1">
      <alignment horizontal="right" vertical="center" wrapText="1"/>
    </xf>
    <xf numFmtId="167" fontId="55" fillId="0" borderId="39" xfId="0" applyNumberFormat="1" applyFont="1" applyBorder="1" applyAlignment="1">
      <alignment horizontal="right" vertical="center" wrapText="1"/>
    </xf>
    <xf numFmtId="167" fontId="0" fillId="4" borderId="27" xfId="0" applyNumberFormat="1" applyFill="1" applyBorder="1" applyAlignment="1">
      <alignment horizontal="right" vertical="center"/>
    </xf>
    <xf numFmtId="167" fontId="0" fillId="0" borderId="27" xfId="0" applyNumberFormat="1" applyBorder="1" applyAlignment="1">
      <alignment horizontal="right" vertical="center"/>
    </xf>
    <xf numFmtId="167" fontId="0" fillId="5" borderId="27" xfId="0" applyNumberFormat="1" applyFill="1" applyBorder="1" applyAlignment="1">
      <alignment horizontal="right" vertical="center"/>
    </xf>
    <xf numFmtId="167" fontId="47" fillId="4" borderId="27" xfId="0" applyNumberFormat="1" applyFont="1" applyFill="1" applyBorder="1" applyAlignment="1">
      <alignment horizontal="right" vertical="center"/>
    </xf>
    <xf numFmtId="0" fontId="38" fillId="0" borderId="42" xfId="0" applyFont="1" applyBorder="1" applyAlignment="1">
      <alignment horizontal="left"/>
    </xf>
    <xf numFmtId="0" fontId="37" fillId="0" borderId="42" xfId="0" applyFont="1" applyBorder="1" applyAlignment="1">
      <alignment horizontal="left" wrapText="1"/>
    </xf>
    <xf numFmtId="166" fontId="38" fillId="0" borderId="42" xfId="0" applyNumberFormat="1" applyFont="1" applyBorder="1" applyAlignment="1">
      <alignment horizontal="right"/>
    </xf>
    <xf numFmtId="10" fontId="37" fillId="5" borderId="1" xfId="0" applyNumberFormat="1" applyFont="1" applyFill="1" applyBorder="1"/>
    <xf numFmtId="10" fontId="37" fillId="7" borderId="1" xfId="0" applyNumberFormat="1" applyFont="1" applyFill="1" applyBorder="1"/>
    <xf numFmtId="0" fontId="37" fillId="0" borderId="27" xfId="0" applyFont="1" applyBorder="1"/>
    <xf numFmtId="0" fontId="37" fillId="5" borderId="27" xfId="0" applyFont="1" applyFill="1" applyBorder="1"/>
    <xf numFmtId="0" fontId="37" fillId="7" borderId="27" xfId="0" applyFont="1" applyFill="1" applyBorder="1"/>
    <xf numFmtId="0" fontId="42" fillId="0" borderId="42" xfId="0" applyFont="1" applyBorder="1" applyAlignment="1">
      <alignment horizontal="left"/>
    </xf>
    <xf numFmtId="166" fontId="42" fillId="0" borderId="42" xfId="0" applyNumberFormat="1" applyFont="1" applyBorder="1" applyAlignment="1">
      <alignment horizontal="right"/>
    </xf>
    <xf numFmtId="10" fontId="41" fillId="5" borderId="1" xfId="0" applyNumberFormat="1" applyFont="1" applyFill="1" applyBorder="1"/>
    <xf numFmtId="10" fontId="41" fillId="7" borderId="1" xfId="0" applyNumberFormat="1" applyFont="1" applyFill="1" applyBorder="1"/>
    <xf numFmtId="0" fontId="41" fillId="0" borderId="27" xfId="0" applyFont="1" applyBorder="1"/>
    <xf numFmtId="0" fontId="41" fillId="5" borderId="27" xfId="0" applyFont="1" applyFill="1" applyBorder="1"/>
    <xf numFmtId="0" fontId="41" fillId="7" borderId="27" xfId="0" applyFont="1" applyFill="1" applyBorder="1"/>
    <xf numFmtId="0" fontId="40" fillId="0" borderId="42" xfId="0" applyFont="1" applyBorder="1" applyAlignment="1">
      <alignment horizontal="left"/>
    </xf>
    <xf numFmtId="166" fontId="40" fillId="0" borderId="42" xfId="0" applyNumberFormat="1" applyFont="1" applyBorder="1" applyAlignment="1">
      <alignment horizontal="right"/>
    </xf>
    <xf numFmtId="10" fontId="39" fillId="5" borderId="1" xfId="0" applyNumberFormat="1" applyFont="1" applyFill="1" applyBorder="1"/>
    <xf numFmtId="10" fontId="39" fillId="7" borderId="1" xfId="0" applyNumberFormat="1" applyFont="1" applyFill="1" applyBorder="1"/>
    <xf numFmtId="0" fontId="39" fillId="0" borderId="27" xfId="0" applyFont="1" applyBorder="1"/>
    <xf numFmtId="0" fontId="39" fillId="5" borderId="27" xfId="0" applyFont="1" applyFill="1" applyBorder="1"/>
    <xf numFmtId="0" fontId="39" fillId="7" borderId="27" xfId="0" applyFont="1" applyFill="1" applyBorder="1"/>
    <xf numFmtId="0" fontId="0" fillId="0" borderId="27" xfId="0" applyBorder="1"/>
    <xf numFmtId="0" fontId="46" fillId="0" borderId="27" xfId="0" applyFont="1" applyBorder="1" applyAlignment="1">
      <alignment wrapText="1"/>
    </xf>
    <xf numFmtId="0" fontId="46" fillId="0" borderId="27" xfId="0" applyFont="1" applyBorder="1"/>
    <xf numFmtId="0" fontId="4" fillId="0" borderId="30" xfId="0" applyFont="1" applyFill="1" applyBorder="1" applyAlignment="1">
      <alignment horizontal="left" vertical="center" wrapText="1"/>
    </xf>
    <xf numFmtId="0" fontId="8" fillId="0" borderId="30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0" fontId="16" fillId="0" borderId="30" xfId="0" applyFont="1" applyFill="1" applyBorder="1" applyAlignment="1">
      <alignment horizontal="left" vertical="center" wrapText="1"/>
    </xf>
    <xf numFmtId="0" fontId="20" fillId="0" borderId="30" xfId="0" applyFont="1" applyFill="1" applyBorder="1" applyAlignment="1">
      <alignment horizontal="left" vertical="center" wrapText="1"/>
    </xf>
    <xf numFmtId="0" fontId="22" fillId="0" borderId="30" xfId="0" applyFont="1" applyFill="1" applyBorder="1" applyAlignment="1">
      <alignment horizontal="left" vertical="center" wrapText="1"/>
    </xf>
    <xf numFmtId="0" fontId="26" fillId="0" borderId="30" xfId="0" applyFont="1" applyFill="1" applyBorder="1" applyAlignment="1">
      <alignment horizontal="left" vertical="center" wrapText="1"/>
    </xf>
    <xf numFmtId="164" fontId="7" fillId="0" borderId="31" xfId="0" applyNumberFormat="1" applyFont="1" applyFill="1" applyBorder="1" applyAlignment="1">
      <alignment horizontal="right" vertical="center" wrapText="1"/>
    </xf>
    <xf numFmtId="164" fontId="11" fillId="0" borderId="31" xfId="0" applyNumberFormat="1" applyFont="1" applyFill="1" applyBorder="1" applyAlignment="1">
      <alignment horizontal="right" vertical="center" wrapText="1"/>
    </xf>
    <xf numFmtId="164" fontId="15" fillId="0" borderId="31" xfId="0" applyNumberFormat="1" applyFont="1" applyFill="1" applyBorder="1" applyAlignment="1">
      <alignment horizontal="right" vertical="center" wrapText="1"/>
    </xf>
    <xf numFmtId="164" fontId="14" fillId="0" borderId="31" xfId="0" applyNumberFormat="1" applyFont="1" applyFill="1" applyBorder="1" applyAlignment="1">
      <alignment horizontal="right" vertical="center" wrapText="1"/>
    </xf>
    <xf numFmtId="164" fontId="19" fillId="0" borderId="31" xfId="0" applyNumberFormat="1" applyFont="1" applyFill="1" applyBorder="1" applyAlignment="1">
      <alignment horizontal="right" vertical="center" wrapText="1"/>
    </xf>
    <xf numFmtId="164" fontId="21" fillId="0" borderId="31" xfId="0" applyNumberFormat="1" applyFont="1" applyFill="1" applyBorder="1" applyAlignment="1">
      <alignment horizontal="right" vertical="center" wrapText="1"/>
    </xf>
    <xf numFmtId="164" fontId="25" fillId="0" borderId="31" xfId="0" applyNumberFormat="1" applyFont="1" applyFill="1" applyBorder="1" applyAlignment="1">
      <alignment horizontal="right" vertical="center" wrapText="1"/>
    </xf>
    <xf numFmtId="164" fontId="29" fillId="0" borderId="31" xfId="0" applyNumberFormat="1" applyFont="1" applyFill="1" applyBorder="1" applyAlignment="1">
      <alignment horizontal="right" vertical="center" wrapText="1"/>
    </xf>
    <xf numFmtId="164" fontId="28" fillId="0" borderId="31" xfId="0" applyNumberFormat="1" applyFont="1" applyFill="1" applyBorder="1" applyAlignment="1">
      <alignment horizontal="right" vertical="center" wrapText="1"/>
    </xf>
    <xf numFmtId="164" fontId="28" fillId="6" borderId="31" xfId="0" applyNumberFormat="1" applyFont="1" applyFill="1" applyBorder="1" applyAlignment="1">
      <alignment horizontal="right" vertical="center" wrapText="1"/>
    </xf>
    <xf numFmtId="164" fontId="21" fillId="6" borderId="31" xfId="0" applyNumberFormat="1" applyFont="1" applyFill="1" applyBorder="1" applyAlignment="1">
      <alignment horizontal="right" vertical="center" wrapText="1"/>
    </xf>
    <xf numFmtId="164" fontId="24" fillId="0" borderId="31" xfId="0" applyNumberFormat="1" applyFont="1" applyFill="1" applyBorder="1" applyAlignment="1">
      <alignment horizontal="right" vertical="center" wrapText="1"/>
    </xf>
    <xf numFmtId="164" fontId="21" fillId="4" borderId="31" xfId="0" applyNumberFormat="1" applyFont="1" applyFill="1" applyBorder="1" applyAlignment="1">
      <alignment horizontal="right" vertical="center" wrapText="1"/>
    </xf>
    <xf numFmtId="164" fontId="18" fillId="0" borderId="31" xfId="0" applyNumberFormat="1" applyFont="1" applyFill="1" applyBorder="1" applyAlignment="1">
      <alignment horizontal="right" vertical="center" wrapText="1"/>
    </xf>
    <xf numFmtId="164" fontId="10" fillId="0" borderId="31" xfId="0" applyNumberFormat="1" applyFont="1" applyFill="1" applyBorder="1" applyAlignment="1">
      <alignment horizontal="right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left" vertical="center" wrapText="1"/>
    </xf>
    <xf numFmtId="0" fontId="31" fillId="0" borderId="46" xfId="0" applyFont="1" applyFill="1" applyBorder="1" applyAlignment="1">
      <alignment horizontal="left" vertical="center" wrapText="1"/>
    </xf>
    <xf numFmtId="164" fontId="32" fillId="0" borderId="40" xfId="0" applyNumberFormat="1" applyFont="1" applyFill="1" applyBorder="1" applyAlignment="1">
      <alignment horizontal="right" vertical="center" wrapText="1"/>
    </xf>
    <xf numFmtId="164" fontId="33" fillId="0" borderId="40" xfId="0" applyNumberFormat="1" applyFont="1" applyFill="1" applyBorder="1" applyAlignment="1">
      <alignment horizontal="right" vertical="center" wrapText="1"/>
    </xf>
    <xf numFmtId="164" fontId="33" fillId="0" borderId="47" xfId="0" applyNumberFormat="1" applyFont="1" applyFill="1" applyBorder="1" applyAlignment="1">
      <alignment horizontal="right" vertical="center" wrapText="1"/>
    </xf>
    <xf numFmtId="0" fontId="34" fillId="0" borderId="0" xfId="0" applyFont="1" applyAlignment="1">
      <alignment horizontal="center" vertical="center" wrapText="1"/>
    </xf>
    <xf numFmtId="166" fontId="45" fillId="0" borderId="38" xfId="0" applyNumberFormat="1" applyFont="1" applyBorder="1" applyAlignment="1">
      <alignment horizontal="right" vertical="center" wrapText="1"/>
    </xf>
    <xf numFmtId="166" fontId="45" fillId="0" borderId="36" xfId="0" applyNumberFormat="1" applyFont="1" applyBorder="1" applyAlignment="1">
      <alignment horizontal="right" vertical="center" wrapText="1"/>
    </xf>
    <xf numFmtId="0" fontId="48" fillId="0" borderId="37" xfId="0" applyFont="1" applyBorder="1" applyAlignment="1">
      <alignment horizontal="center" vertical="center" wrapText="1"/>
    </xf>
    <xf numFmtId="0" fontId="48" fillId="0" borderId="34" xfId="0" applyFont="1" applyBorder="1" applyAlignment="1">
      <alignment horizontal="center" vertical="center" wrapText="1"/>
    </xf>
    <xf numFmtId="0" fontId="46" fillId="0" borderId="27" xfId="0" applyFont="1" applyBorder="1" applyAlignment="1">
      <alignment horizontal="left" vertical="center" wrapText="1"/>
    </xf>
    <xf numFmtId="0" fontId="47" fillId="9" borderId="40" xfId="0" applyFont="1" applyFill="1" applyBorder="1" applyAlignment="1">
      <alignment horizontal="center" wrapText="1"/>
    </xf>
    <xf numFmtId="0" fontId="47" fillId="9" borderId="41" xfId="0" applyFont="1" applyFill="1" applyBorder="1" applyAlignment="1">
      <alignment horizontal="center" wrapText="1"/>
    </xf>
    <xf numFmtId="0" fontId="47" fillId="9" borderId="40" xfId="0" applyFont="1" applyFill="1" applyBorder="1" applyAlignment="1">
      <alignment horizontal="center" vertical="center"/>
    </xf>
    <xf numFmtId="0" fontId="47" fillId="9" borderId="41" xfId="0" applyFont="1" applyFill="1" applyBorder="1" applyAlignment="1">
      <alignment horizontal="center" vertical="center"/>
    </xf>
    <xf numFmtId="0" fontId="48" fillId="8" borderId="32" xfId="0" applyFont="1" applyFill="1" applyBorder="1" applyAlignment="1">
      <alignment horizontal="center" vertical="center" wrapText="1"/>
    </xf>
    <xf numFmtId="0" fontId="48" fillId="8" borderId="33" xfId="0" applyFont="1" applyFill="1" applyBorder="1" applyAlignment="1">
      <alignment horizontal="center" vertical="center" wrapText="1"/>
    </xf>
    <xf numFmtId="0" fontId="48" fillId="8" borderId="37" xfId="0" applyFont="1" applyFill="1" applyBorder="1" applyAlignment="1">
      <alignment horizontal="center" vertical="center" wrapText="1"/>
    </xf>
    <xf numFmtId="0" fontId="48" fillId="8" borderId="34" xfId="0" applyFont="1" applyFill="1" applyBorder="1" applyAlignment="1">
      <alignment horizontal="center" vertical="center" wrapText="1"/>
    </xf>
    <xf numFmtId="0" fontId="48" fillId="8" borderId="38" xfId="0" applyFont="1" applyFill="1" applyBorder="1" applyAlignment="1">
      <alignment horizontal="center" vertical="center" wrapText="1"/>
    </xf>
    <xf numFmtId="0" fontId="48" fillId="8" borderId="36" xfId="0" applyFont="1" applyFill="1" applyBorder="1" applyAlignment="1">
      <alignment horizontal="center" vertical="center" wrapText="1"/>
    </xf>
    <xf numFmtId="0" fontId="52" fillId="0" borderId="32" xfId="0" applyFont="1" applyBorder="1" applyAlignment="1">
      <alignment horizontal="center" vertical="center" wrapText="1"/>
    </xf>
    <xf numFmtId="0" fontId="52" fillId="0" borderId="33" xfId="0" applyFont="1" applyBorder="1" applyAlignment="1">
      <alignment horizontal="center" vertical="center" wrapText="1"/>
    </xf>
    <xf numFmtId="0" fontId="52" fillId="0" borderId="32" xfId="0" applyFont="1" applyBorder="1" applyAlignment="1">
      <alignment vertical="center" wrapText="1"/>
    </xf>
    <xf numFmtId="0" fontId="52" fillId="0" borderId="33" xfId="0" applyFont="1" applyBorder="1" applyAlignment="1">
      <alignment vertical="center" wrapText="1"/>
    </xf>
    <xf numFmtId="164" fontId="45" fillId="0" borderId="32" xfId="0" applyNumberFormat="1" applyFont="1" applyBorder="1" applyAlignment="1">
      <alignment horizontal="right" vertical="center" wrapText="1"/>
    </xf>
    <xf numFmtId="164" fontId="45" fillId="0" borderId="33" xfId="0" applyNumberFormat="1" applyFont="1" applyBorder="1" applyAlignment="1">
      <alignment horizontal="right" vertical="center" wrapText="1"/>
    </xf>
    <xf numFmtId="166" fontId="45" fillId="0" borderId="32" xfId="0" applyNumberFormat="1" applyFont="1" applyBorder="1" applyAlignment="1">
      <alignment horizontal="right" vertical="center" wrapText="1"/>
    </xf>
    <xf numFmtId="166" fontId="45" fillId="0" borderId="33" xfId="0" applyNumberFormat="1" applyFont="1" applyBorder="1" applyAlignment="1">
      <alignment horizontal="right" vertical="center" wrapText="1"/>
    </xf>
    <xf numFmtId="10" fontId="45" fillId="0" borderId="32" xfId="0" applyNumberFormat="1" applyFont="1" applyBorder="1" applyAlignment="1">
      <alignment horizontal="right" vertical="center" wrapText="1"/>
    </xf>
    <xf numFmtId="10" fontId="45" fillId="0" borderId="3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Rp.&quot;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Rp.&quot;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Rp.&quot;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Rp.&quot;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Rp.&quot;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Rp.&quot;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Rp.&quot;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Rp.&quot;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Rp.&quot;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&quot;Rp.&quot;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E1397-6EDD-4042-9E84-C19320A78B61}" name="Table1" displayName="Table1" ref="A3:L488" totalsRowShown="0" headerRowDxfId="16" dataDxfId="14" headerRowBorderDxfId="15" tableBorderDxfId="13" totalsRowBorderDxfId="12">
  <autoFilter ref="A3:L488" xr:uid="{7AFE1397-6EDD-4042-9E84-C19320A78B61}"/>
  <tableColumns count="12">
    <tableColumn id="1" xr3:uid="{7125781A-7267-49A8-88CD-842A665D21ED}" name="Kode Rekening" dataDxfId="11"/>
    <tableColumn id="2" xr3:uid="{15C6184E-0865-4CD7-A4C2-8837071C65B6}" name="Uraian" dataDxfId="10"/>
    <tableColumn id="3" xr3:uid="{C4759D1D-4BA5-4F91-8891-D921DBAE89C7}" name="Anggaran Tahun Ini" dataDxfId="9"/>
    <tableColumn id="4" xr3:uid="{79EEC673-F237-4A49-8019-748C71FEBE27}" name="Total RAK" dataDxfId="8"/>
    <tableColumn id="5" xr3:uid="{4B6A8B2D-37CB-4636-9879-55425F7ED3D8}" name="Realisasi" dataDxfId="7"/>
    <tableColumn id="6" xr3:uid="{FC9FB60C-2380-4332-A0BD-B3742BFD0011}" name="Januari" dataDxfId="6"/>
    <tableColumn id="7" xr3:uid="{4BAF02A7-8CE8-47D9-B7B4-FE27954BA14F}" name="Februari" dataDxfId="5"/>
    <tableColumn id="8" xr3:uid="{6E1C0799-5D6B-4FA2-8855-07E4E5A2303D}" name="Maret" dataDxfId="4"/>
    <tableColumn id="9" xr3:uid="{87C1736B-FE05-4AA7-AB43-77CABF8F083C}" name="April" dataDxfId="3"/>
    <tableColumn id="10" xr3:uid="{62E7CEA9-4688-4F5F-9527-122DC2D2C0F5}" name="Mei" dataDxfId="2"/>
    <tableColumn id="11" xr3:uid="{76AC2849-7399-4D3D-B434-986631D4601E}" name="Juni" dataDxfId="1"/>
    <tableColumn id="12" xr3:uid="{DA7158ED-02BE-4457-8789-AD5A1FDDC3C1}" name="Juli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8"/>
  <sheetViews>
    <sheetView tabSelected="1" workbookViewId="0">
      <pane xSplit="2" ySplit="1" topLeftCell="C419" activePane="bottomRight" state="frozen"/>
      <selection pane="topRight" activeCell="C1" sqref="C1"/>
      <selection pane="bottomLeft" activeCell="A2" sqref="A2"/>
      <selection pane="bottomRight" activeCell="B440" sqref="B440"/>
    </sheetView>
  </sheetViews>
  <sheetFormatPr defaultRowHeight="14.6"/>
  <cols>
    <col min="1" max="1" width="20.84375" customWidth="1"/>
    <col min="2" max="2" width="45.84375" customWidth="1"/>
    <col min="3" max="3" width="22.84375" customWidth="1"/>
    <col min="4" max="5" width="20.84375" customWidth="1"/>
    <col min="6" max="6" width="17.07421875" customWidth="1"/>
    <col min="7" max="7" width="18.84375" customWidth="1"/>
    <col min="8" max="8" width="19.4609375" customWidth="1"/>
    <col min="9" max="9" width="17.07421875" customWidth="1"/>
    <col min="10" max="11" width="17.84375" customWidth="1"/>
    <col min="12" max="12" width="16.3046875" customWidth="1"/>
    <col min="13" max="13" width="17.765625" bestFit="1" customWidth="1"/>
  </cols>
  <sheetData>
    <row r="1" spans="1:14" ht="14.6" customHeight="1">
      <c r="A1" s="176" t="s">
        <v>316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</row>
    <row r="2" spans="1:14">
      <c r="A2" s="1" t="s">
        <v>0</v>
      </c>
      <c r="B2" s="1" t="s">
        <v>0</v>
      </c>
      <c r="C2" s="1" t="s">
        <v>0</v>
      </c>
      <c r="D2" s="1" t="s">
        <v>0</v>
      </c>
      <c r="E2" s="1"/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4">
      <c r="A3" s="167" t="s">
        <v>1</v>
      </c>
      <c r="B3" s="168" t="s">
        <v>2</v>
      </c>
      <c r="C3" s="168" t="s">
        <v>3</v>
      </c>
      <c r="D3" s="168" t="s">
        <v>4</v>
      </c>
      <c r="E3" s="169" t="s">
        <v>317</v>
      </c>
      <c r="F3" s="168" t="s">
        <v>5</v>
      </c>
      <c r="G3" s="168" t="s">
        <v>6</v>
      </c>
      <c r="H3" s="168" t="s">
        <v>7</v>
      </c>
      <c r="I3" s="168" t="s">
        <v>8</v>
      </c>
      <c r="J3" s="168" t="s">
        <v>9</v>
      </c>
      <c r="K3" s="168" t="s">
        <v>10</v>
      </c>
      <c r="L3" s="170" t="s">
        <v>11</v>
      </c>
      <c r="M3" s="50" t="s">
        <v>320</v>
      </c>
      <c r="N3" s="50" t="s">
        <v>321</v>
      </c>
    </row>
    <row r="4" spans="1:14" ht="25.75">
      <c r="A4" s="145" t="s">
        <v>12</v>
      </c>
      <c r="B4" s="2" t="s">
        <v>13</v>
      </c>
      <c r="C4" s="3">
        <v>10810941900</v>
      </c>
      <c r="D4" s="4">
        <v>10810941900</v>
      </c>
      <c r="E4" s="33">
        <v>5046967472</v>
      </c>
      <c r="F4" s="4">
        <v>940984719</v>
      </c>
      <c r="G4" s="4">
        <v>1532480122</v>
      </c>
      <c r="H4" s="4">
        <v>1342084725</v>
      </c>
      <c r="I4" s="4">
        <v>958435735</v>
      </c>
      <c r="J4" s="4">
        <v>838512411</v>
      </c>
      <c r="K4" s="4">
        <v>1441253886</v>
      </c>
      <c r="L4" s="152">
        <v>771173861</v>
      </c>
      <c r="M4" s="51">
        <f>SUM(F4:L4)</f>
        <v>7824925459</v>
      </c>
      <c r="N4" s="52">
        <f>M4/D4*100%</f>
        <v>0.72379682837810833</v>
      </c>
    </row>
    <row r="5" spans="1:14" ht="25.75">
      <c r="A5" s="146" t="s">
        <v>14</v>
      </c>
      <c r="B5" s="6" t="s">
        <v>15</v>
      </c>
      <c r="C5" s="7">
        <v>10482073000</v>
      </c>
      <c r="D5" s="8">
        <v>10482073000</v>
      </c>
      <c r="E5" s="34">
        <v>4911383463</v>
      </c>
      <c r="F5" s="8">
        <v>918410119</v>
      </c>
      <c r="G5" s="8">
        <v>1503799722</v>
      </c>
      <c r="H5" s="8">
        <v>1317654225</v>
      </c>
      <c r="I5" s="8">
        <v>913511735</v>
      </c>
      <c r="J5" s="8">
        <v>799955711</v>
      </c>
      <c r="K5" s="8">
        <v>1418352986</v>
      </c>
      <c r="L5" s="153">
        <v>746792161</v>
      </c>
      <c r="M5" s="51">
        <f t="shared" ref="M5:M63" si="0">SUM(F5:L5)</f>
        <v>7618476659</v>
      </c>
      <c r="N5" s="52">
        <f t="shared" ref="N5:N63" si="1">M5/D5*100%</f>
        <v>0.72681011275155205</v>
      </c>
    </row>
    <row r="6" spans="1:14">
      <c r="A6" s="147" t="s">
        <v>16</v>
      </c>
      <c r="B6" s="10" t="s">
        <v>17</v>
      </c>
      <c r="C6" s="11">
        <v>10482073000</v>
      </c>
      <c r="D6" s="12">
        <v>10482073000</v>
      </c>
      <c r="E6" s="34">
        <v>4911383463</v>
      </c>
      <c r="F6" s="12">
        <v>918410119</v>
      </c>
      <c r="G6" s="12">
        <v>1503799722</v>
      </c>
      <c r="H6" s="12">
        <v>1317654225</v>
      </c>
      <c r="I6" s="12">
        <v>913511735</v>
      </c>
      <c r="J6" s="12">
        <v>799955711</v>
      </c>
      <c r="K6" s="12">
        <v>1418352986</v>
      </c>
      <c r="L6" s="154">
        <v>746792161</v>
      </c>
      <c r="M6" s="51">
        <f t="shared" si="0"/>
        <v>7618476659</v>
      </c>
      <c r="N6" s="52">
        <f t="shared" si="1"/>
        <v>0.72681011275155205</v>
      </c>
    </row>
    <row r="7" spans="1:14">
      <c r="A7" s="147" t="s">
        <v>16</v>
      </c>
      <c r="B7" s="9" t="s">
        <v>17</v>
      </c>
      <c r="C7" s="11">
        <v>10482073000</v>
      </c>
      <c r="D7" s="11">
        <v>10482073000</v>
      </c>
      <c r="E7" s="34">
        <v>4911383463</v>
      </c>
      <c r="F7" s="11">
        <v>918410119</v>
      </c>
      <c r="G7" s="11">
        <v>1503799722</v>
      </c>
      <c r="H7" s="11">
        <v>1317654225</v>
      </c>
      <c r="I7" s="11">
        <v>913511735</v>
      </c>
      <c r="J7" s="11">
        <v>799955711</v>
      </c>
      <c r="K7" s="11">
        <v>1418352986</v>
      </c>
      <c r="L7" s="155">
        <v>746792161</v>
      </c>
      <c r="M7" s="51">
        <f t="shared" si="0"/>
        <v>7618476659</v>
      </c>
      <c r="N7" s="52">
        <f t="shared" si="1"/>
        <v>0.72681011275155205</v>
      </c>
    </row>
    <row r="8" spans="1:14" ht="25.75">
      <c r="A8" s="148" t="s">
        <v>18</v>
      </c>
      <c r="B8" s="14" t="s">
        <v>19</v>
      </c>
      <c r="C8" s="15">
        <v>3678352600</v>
      </c>
      <c r="D8" s="16">
        <v>3678352600</v>
      </c>
      <c r="E8" s="35">
        <v>1869645045</v>
      </c>
      <c r="F8" s="16">
        <v>350395719</v>
      </c>
      <c r="G8" s="16">
        <v>599117522</v>
      </c>
      <c r="H8" s="16">
        <v>309483825</v>
      </c>
      <c r="I8" s="16">
        <v>287084447</v>
      </c>
      <c r="J8" s="16">
        <v>274161835</v>
      </c>
      <c r="K8" s="16">
        <v>487291586</v>
      </c>
      <c r="L8" s="156">
        <v>297307235</v>
      </c>
      <c r="M8" s="51">
        <f t="shared" si="0"/>
        <v>2604842169</v>
      </c>
      <c r="N8" s="52">
        <f t="shared" si="1"/>
        <v>0.7081545605497418</v>
      </c>
    </row>
    <row r="9" spans="1:14" ht="25.75">
      <c r="A9" s="147" t="s">
        <v>20</v>
      </c>
      <c r="B9" s="9" t="s">
        <v>21</v>
      </c>
      <c r="C9" s="11">
        <v>27046200</v>
      </c>
      <c r="D9" s="11">
        <v>27046200</v>
      </c>
      <c r="E9" s="36">
        <v>11732732</v>
      </c>
      <c r="F9" s="11">
        <v>4990000</v>
      </c>
      <c r="G9" s="11">
        <v>5007254</v>
      </c>
      <c r="H9" s="11">
        <v>5983000</v>
      </c>
      <c r="I9" s="11">
        <v>1140000</v>
      </c>
      <c r="J9" s="11">
        <v>2398000</v>
      </c>
      <c r="K9" s="11">
        <v>1093000</v>
      </c>
      <c r="L9" s="155">
        <v>2935800</v>
      </c>
      <c r="M9" s="51">
        <f t="shared" si="0"/>
        <v>23547054</v>
      </c>
      <c r="N9" s="52">
        <f t="shared" si="1"/>
        <v>0.8706233777758059</v>
      </c>
    </row>
    <row r="10" spans="1:14">
      <c r="A10" s="149" t="s">
        <v>22</v>
      </c>
      <c r="B10" s="17" t="s">
        <v>23</v>
      </c>
      <c r="C10" s="18">
        <v>12226200</v>
      </c>
      <c r="D10" s="18">
        <v>12226200</v>
      </c>
      <c r="E10" s="37">
        <v>5573515</v>
      </c>
      <c r="F10" s="18">
        <v>2823200</v>
      </c>
      <c r="G10" s="18">
        <v>0</v>
      </c>
      <c r="H10" s="18">
        <v>5983000</v>
      </c>
      <c r="I10" s="18">
        <v>1140000</v>
      </c>
      <c r="J10" s="18">
        <v>0</v>
      </c>
      <c r="K10" s="18">
        <v>0</v>
      </c>
      <c r="L10" s="157">
        <v>1140000</v>
      </c>
      <c r="M10" s="51">
        <f t="shared" si="0"/>
        <v>11086200</v>
      </c>
      <c r="N10" s="52">
        <f t="shared" si="1"/>
        <v>0.90675761888403594</v>
      </c>
    </row>
    <row r="11" spans="1:14">
      <c r="A11" s="150" t="s">
        <v>24</v>
      </c>
      <c r="B11" s="20" t="s">
        <v>25</v>
      </c>
      <c r="C11" s="21">
        <v>12226200</v>
      </c>
      <c r="D11" s="22">
        <v>12226200</v>
      </c>
      <c r="E11" s="37">
        <v>5573515</v>
      </c>
      <c r="F11" s="22">
        <v>2823200</v>
      </c>
      <c r="G11" s="22">
        <v>0</v>
      </c>
      <c r="H11" s="22">
        <v>5983000</v>
      </c>
      <c r="I11" s="22">
        <v>1140000</v>
      </c>
      <c r="J11" s="22">
        <v>0</v>
      </c>
      <c r="K11" s="22">
        <v>0</v>
      </c>
      <c r="L11" s="158">
        <v>1140000</v>
      </c>
      <c r="M11" s="51">
        <f t="shared" si="0"/>
        <v>11086200</v>
      </c>
      <c r="N11" s="52">
        <f t="shared" si="1"/>
        <v>0.90675761888403594</v>
      </c>
    </row>
    <row r="12" spans="1:14">
      <c r="A12" s="151" t="s">
        <v>26</v>
      </c>
      <c r="B12" s="24" t="s">
        <v>27</v>
      </c>
      <c r="C12" s="25">
        <v>1763200</v>
      </c>
      <c r="D12" s="26">
        <v>1763200</v>
      </c>
      <c r="E12" s="38">
        <v>1244515</v>
      </c>
      <c r="F12" s="26">
        <v>1763200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159">
        <v>0</v>
      </c>
      <c r="M12" s="51">
        <f t="shared" si="0"/>
        <v>1763200</v>
      </c>
      <c r="N12" s="52">
        <f t="shared" si="1"/>
        <v>1</v>
      </c>
    </row>
    <row r="13" spans="1:14">
      <c r="A13" s="149" t="s">
        <v>28</v>
      </c>
      <c r="B13" s="17" t="s">
        <v>29</v>
      </c>
      <c r="C13" s="18">
        <v>1763200</v>
      </c>
      <c r="D13" s="18">
        <v>1763200</v>
      </c>
      <c r="E13" s="37">
        <v>1244515</v>
      </c>
      <c r="F13" s="18">
        <v>1763200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57">
        <v>0</v>
      </c>
      <c r="M13" s="51">
        <f t="shared" si="0"/>
        <v>1763200</v>
      </c>
      <c r="N13" s="52">
        <f t="shared" si="1"/>
        <v>1</v>
      </c>
    </row>
    <row r="14" spans="1:14">
      <c r="A14" s="149" t="s">
        <v>30</v>
      </c>
      <c r="B14" s="17" t="s">
        <v>31</v>
      </c>
      <c r="C14" s="18">
        <v>1275800</v>
      </c>
      <c r="D14" s="18">
        <v>1275800</v>
      </c>
      <c r="E14" s="37">
        <v>1083565</v>
      </c>
      <c r="F14" s="40">
        <v>1275800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57">
        <v>0</v>
      </c>
      <c r="M14" s="51">
        <f t="shared" si="0"/>
        <v>1275800</v>
      </c>
      <c r="N14" s="52">
        <f t="shared" si="1"/>
        <v>1</v>
      </c>
    </row>
    <row r="15" spans="1:14">
      <c r="A15" s="149" t="s">
        <v>32</v>
      </c>
      <c r="B15" s="17" t="s">
        <v>33</v>
      </c>
      <c r="C15" s="18">
        <v>162000</v>
      </c>
      <c r="D15" s="18">
        <v>162000</v>
      </c>
      <c r="E15" s="37">
        <v>160950</v>
      </c>
      <c r="F15" s="39">
        <v>162000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57">
        <v>0</v>
      </c>
      <c r="M15" s="51">
        <f t="shared" si="0"/>
        <v>162000</v>
      </c>
      <c r="N15" s="52">
        <f t="shared" si="1"/>
        <v>1</v>
      </c>
    </row>
    <row r="16" spans="1:14">
      <c r="A16" s="149" t="s">
        <v>34</v>
      </c>
      <c r="B16" s="17" t="s">
        <v>35</v>
      </c>
      <c r="C16" s="18">
        <v>325400</v>
      </c>
      <c r="D16" s="18">
        <v>325400</v>
      </c>
      <c r="E16" s="37" t="s">
        <v>318</v>
      </c>
      <c r="F16" s="41">
        <v>325400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57">
        <v>0</v>
      </c>
      <c r="M16" s="51">
        <f t="shared" si="0"/>
        <v>325400</v>
      </c>
      <c r="N16" s="52">
        <f t="shared" si="1"/>
        <v>1</v>
      </c>
    </row>
    <row r="17" spans="1:14">
      <c r="A17" s="151" t="s">
        <v>36</v>
      </c>
      <c r="B17" s="23" t="s">
        <v>37</v>
      </c>
      <c r="C17" s="25">
        <v>2063000</v>
      </c>
      <c r="D17" s="25">
        <v>2063000</v>
      </c>
      <c r="E17" s="42">
        <v>2049000</v>
      </c>
      <c r="F17" s="43">
        <v>1060000</v>
      </c>
      <c r="G17" s="25">
        <v>0</v>
      </c>
      <c r="H17" s="43">
        <v>1003000</v>
      </c>
      <c r="I17" s="25">
        <v>0</v>
      </c>
      <c r="J17" s="25">
        <v>0</v>
      </c>
      <c r="K17" s="25">
        <v>0</v>
      </c>
      <c r="L17" s="160">
        <v>0</v>
      </c>
      <c r="M17" s="51">
        <f t="shared" si="0"/>
        <v>2063000</v>
      </c>
      <c r="N17" s="52">
        <f t="shared" si="1"/>
        <v>1</v>
      </c>
    </row>
    <row r="18" spans="1:14">
      <c r="A18" s="149" t="s">
        <v>38</v>
      </c>
      <c r="B18" s="17" t="s">
        <v>39</v>
      </c>
      <c r="C18" s="18">
        <v>2063000</v>
      </c>
      <c r="D18" s="18">
        <v>2063000</v>
      </c>
      <c r="E18" s="37">
        <v>2049000</v>
      </c>
      <c r="F18" s="39">
        <v>1060000</v>
      </c>
      <c r="G18" s="18">
        <v>0</v>
      </c>
      <c r="H18" s="39">
        <v>1003000</v>
      </c>
      <c r="I18" s="18">
        <v>0</v>
      </c>
      <c r="J18" s="18">
        <v>0</v>
      </c>
      <c r="K18" s="18">
        <v>0</v>
      </c>
      <c r="L18" s="157">
        <v>0</v>
      </c>
      <c r="M18" s="51">
        <f t="shared" si="0"/>
        <v>2063000</v>
      </c>
      <c r="N18" s="52">
        <f t="shared" si="1"/>
        <v>1</v>
      </c>
    </row>
    <row r="19" spans="1:14">
      <c r="A19" s="149" t="s">
        <v>40</v>
      </c>
      <c r="B19" s="17" t="s">
        <v>41</v>
      </c>
      <c r="C19" s="18">
        <v>2063000</v>
      </c>
      <c r="D19" s="18">
        <v>2063000</v>
      </c>
      <c r="E19" s="37">
        <v>2049000</v>
      </c>
      <c r="F19" s="39">
        <v>1060000</v>
      </c>
      <c r="G19" s="18">
        <v>0</v>
      </c>
      <c r="H19" s="39">
        <v>1003000</v>
      </c>
      <c r="I19" s="18">
        <v>0</v>
      </c>
      <c r="J19" s="18">
        <v>0</v>
      </c>
      <c r="K19" s="18">
        <v>0</v>
      </c>
      <c r="L19" s="157">
        <v>0</v>
      </c>
      <c r="M19" s="51">
        <f t="shared" si="0"/>
        <v>2063000</v>
      </c>
      <c r="N19" s="52">
        <f t="shared" si="1"/>
        <v>1</v>
      </c>
    </row>
    <row r="20" spans="1:14">
      <c r="A20" s="151" t="s">
        <v>42</v>
      </c>
      <c r="B20" s="23" t="s">
        <v>43</v>
      </c>
      <c r="C20" s="25">
        <v>8400000</v>
      </c>
      <c r="D20" s="25">
        <v>8400000</v>
      </c>
      <c r="E20" s="42">
        <v>2280000</v>
      </c>
      <c r="F20" s="25">
        <v>0</v>
      </c>
      <c r="G20" s="25">
        <v>0</v>
      </c>
      <c r="H20" s="44">
        <v>4980000</v>
      </c>
      <c r="I20" s="45">
        <v>1140000</v>
      </c>
      <c r="J20" s="25">
        <v>0</v>
      </c>
      <c r="K20" s="25">
        <v>0</v>
      </c>
      <c r="L20" s="161">
        <v>1140000</v>
      </c>
      <c r="M20" s="51">
        <f t="shared" si="0"/>
        <v>7260000</v>
      </c>
      <c r="N20" s="52">
        <f t="shared" si="1"/>
        <v>0.86428571428571432</v>
      </c>
    </row>
    <row r="21" spans="1:14">
      <c r="A21" s="149" t="s">
        <v>44</v>
      </c>
      <c r="B21" s="17" t="s">
        <v>45</v>
      </c>
      <c r="C21" s="18">
        <v>8400000</v>
      </c>
      <c r="D21" s="18">
        <v>8400000</v>
      </c>
      <c r="E21" s="37">
        <v>2280000</v>
      </c>
      <c r="F21" s="18">
        <v>0</v>
      </c>
      <c r="G21" s="18">
        <v>0</v>
      </c>
      <c r="H21" s="40">
        <v>4980000</v>
      </c>
      <c r="I21" s="41">
        <v>1140000</v>
      </c>
      <c r="J21" s="18">
        <v>0</v>
      </c>
      <c r="K21" s="18">
        <v>0</v>
      </c>
      <c r="L21" s="162">
        <v>1140000</v>
      </c>
      <c r="M21" s="51">
        <f t="shared" si="0"/>
        <v>7260000</v>
      </c>
      <c r="N21" s="52">
        <f t="shared" si="1"/>
        <v>0.86428571428571432</v>
      </c>
    </row>
    <row r="22" spans="1:14">
      <c r="A22" s="149" t="s">
        <v>46</v>
      </c>
      <c r="B22" s="17" t="s">
        <v>47</v>
      </c>
      <c r="C22" s="18">
        <v>8400000</v>
      </c>
      <c r="D22" s="18">
        <v>8400000</v>
      </c>
      <c r="E22" s="37">
        <v>2280000</v>
      </c>
      <c r="F22" s="18">
        <v>0</v>
      </c>
      <c r="G22" s="18">
        <v>0</v>
      </c>
      <c r="H22" s="40">
        <v>4980000</v>
      </c>
      <c r="I22" s="41">
        <v>1140000</v>
      </c>
      <c r="J22" s="18">
        <v>0</v>
      </c>
      <c r="K22" s="18">
        <v>0</v>
      </c>
      <c r="L22" s="162">
        <v>1140000</v>
      </c>
      <c r="M22" s="51">
        <f t="shared" si="0"/>
        <v>7260000</v>
      </c>
      <c r="N22" s="52">
        <f t="shared" si="1"/>
        <v>0.86428571428571432</v>
      </c>
    </row>
    <row r="23" spans="1:14">
      <c r="A23" s="149" t="s">
        <v>48</v>
      </c>
      <c r="B23" s="17" t="s">
        <v>49</v>
      </c>
      <c r="C23" s="18">
        <v>3686800</v>
      </c>
      <c r="D23" s="18">
        <v>3686800</v>
      </c>
      <c r="E23" s="37">
        <v>1427070</v>
      </c>
      <c r="F23" s="18">
        <v>2166800</v>
      </c>
      <c r="G23" s="18">
        <v>0</v>
      </c>
      <c r="H23" s="18">
        <v>0</v>
      </c>
      <c r="I23" s="18">
        <v>0</v>
      </c>
      <c r="J23" s="18">
        <v>1520000</v>
      </c>
      <c r="K23" s="18">
        <v>0</v>
      </c>
      <c r="L23" s="157">
        <v>0</v>
      </c>
      <c r="M23" s="51">
        <f t="shared" si="0"/>
        <v>3686800</v>
      </c>
      <c r="N23" s="52">
        <f t="shared" si="1"/>
        <v>1</v>
      </c>
    </row>
    <row r="24" spans="1:14">
      <c r="A24" s="150" t="s">
        <v>24</v>
      </c>
      <c r="B24" s="19" t="s">
        <v>25</v>
      </c>
      <c r="C24" s="21">
        <v>3686800</v>
      </c>
      <c r="D24" s="21">
        <v>3686800</v>
      </c>
      <c r="E24" s="46">
        <v>1427070</v>
      </c>
      <c r="F24" s="21">
        <v>2166800</v>
      </c>
      <c r="G24" s="21">
        <v>0</v>
      </c>
      <c r="H24" s="21">
        <v>0</v>
      </c>
      <c r="I24" s="21">
        <v>0</v>
      </c>
      <c r="J24" s="21">
        <v>1520000</v>
      </c>
      <c r="K24" s="21">
        <v>0</v>
      </c>
      <c r="L24" s="163">
        <v>0</v>
      </c>
      <c r="M24" s="51">
        <f t="shared" si="0"/>
        <v>3686800</v>
      </c>
      <c r="N24" s="52">
        <f t="shared" si="1"/>
        <v>1</v>
      </c>
    </row>
    <row r="25" spans="1:14">
      <c r="A25" s="151" t="s">
        <v>26</v>
      </c>
      <c r="B25" s="23" t="s">
        <v>27</v>
      </c>
      <c r="C25" s="25">
        <v>866800</v>
      </c>
      <c r="D25" s="25">
        <v>866800</v>
      </c>
      <c r="E25" s="42">
        <v>152070</v>
      </c>
      <c r="F25" s="25">
        <v>866800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160">
        <v>0</v>
      </c>
      <c r="M25" s="51">
        <f t="shared" si="0"/>
        <v>866800</v>
      </c>
      <c r="N25" s="52">
        <f t="shared" si="1"/>
        <v>1</v>
      </c>
    </row>
    <row r="26" spans="1:14">
      <c r="A26" s="149" t="s">
        <v>28</v>
      </c>
      <c r="B26" s="17" t="s">
        <v>29</v>
      </c>
      <c r="C26" s="18">
        <v>866800</v>
      </c>
      <c r="D26" s="18">
        <v>866800</v>
      </c>
      <c r="E26" s="37">
        <v>152070</v>
      </c>
      <c r="F26" s="18">
        <v>866800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57">
        <v>0</v>
      </c>
      <c r="M26" s="51">
        <f t="shared" si="0"/>
        <v>866800</v>
      </c>
      <c r="N26" s="52">
        <f t="shared" si="1"/>
        <v>1</v>
      </c>
    </row>
    <row r="27" spans="1:14">
      <c r="A27" s="149" t="s">
        <v>30</v>
      </c>
      <c r="B27" s="17" t="s">
        <v>31</v>
      </c>
      <c r="C27" s="18">
        <v>434200</v>
      </c>
      <c r="D27" s="18">
        <v>434200</v>
      </c>
      <c r="E27" s="37" t="s">
        <v>318</v>
      </c>
      <c r="F27" s="41">
        <v>434200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57">
        <v>0</v>
      </c>
      <c r="M27" s="51">
        <f t="shared" si="0"/>
        <v>434200</v>
      </c>
      <c r="N27" s="52">
        <f t="shared" si="1"/>
        <v>1</v>
      </c>
    </row>
    <row r="28" spans="1:14">
      <c r="A28" s="149" t="s">
        <v>32</v>
      </c>
      <c r="B28" s="17" t="s">
        <v>33</v>
      </c>
      <c r="C28" s="18">
        <v>155200</v>
      </c>
      <c r="D28" s="18">
        <v>155200</v>
      </c>
      <c r="E28" s="37">
        <v>152070</v>
      </c>
      <c r="F28" s="39">
        <v>155200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57">
        <v>0</v>
      </c>
      <c r="M28" s="51">
        <f t="shared" si="0"/>
        <v>155200</v>
      </c>
      <c r="N28" s="52">
        <f t="shared" si="1"/>
        <v>1</v>
      </c>
    </row>
    <row r="29" spans="1:14">
      <c r="A29" s="149" t="s">
        <v>34</v>
      </c>
      <c r="B29" s="17" t="s">
        <v>35</v>
      </c>
      <c r="C29" s="18">
        <v>277400</v>
      </c>
      <c r="D29" s="18">
        <v>277400</v>
      </c>
      <c r="E29" s="37" t="s">
        <v>318</v>
      </c>
      <c r="F29" s="41">
        <v>277400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57">
        <v>0</v>
      </c>
      <c r="M29" s="51">
        <f t="shared" si="0"/>
        <v>277400</v>
      </c>
      <c r="N29" s="52">
        <f t="shared" si="1"/>
        <v>1</v>
      </c>
    </row>
    <row r="30" spans="1:14">
      <c r="A30" s="151" t="s">
        <v>36</v>
      </c>
      <c r="B30" s="23" t="s">
        <v>37</v>
      </c>
      <c r="C30" s="25">
        <v>1300000</v>
      </c>
      <c r="D30" s="25">
        <v>1300000</v>
      </c>
      <c r="E30" s="42">
        <v>1275000</v>
      </c>
      <c r="F30" s="43">
        <v>1300000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160">
        <v>0</v>
      </c>
      <c r="M30" s="51">
        <f t="shared" si="0"/>
        <v>1300000</v>
      </c>
      <c r="N30" s="52">
        <f t="shared" si="1"/>
        <v>1</v>
      </c>
    </row>
    <row r="31" spans="1:14">
      <c r="A31" s="149" t="s">
        <v>38</v>
      </c>
      <c r="B31" s="17" t="s">
        <v>39</v>
      </c>
      <c r="C31" s="18">
        <v>1300000</v>
      </c>
      <c r="D31" s="18">
        <v>1300000</v>
      </c>
      <c r="E31" s="37">
        <v>1275000</v>
      </c>
      <c r="F31" s="39">
        <v>1300000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57">
        <v>0</v>
      </c>
      <c r="M31" s="51">
        <f t="shared" si="0"/>
        <v>1300000</v>
      </c>
      <c r="N31" s="52">
        <f t="shared" si="1"/>
        <v>1</v>
      </c>
    </row>
    <row r="32" spans="1:14">
      <c r="A32" s="149" t="s">
        <v>40</v>
      </c>
      <c r="B32" s="17" t="s">
        <v>41</v>
      </c>
      <c r="C32" s="18">
        <v>1300000</v>
      </c>
      <c r="D32" s="18">
        <v>1300000</v>
      </c>
      <c r="E32" s="37">
        <v>1275000</v>
      </c>
      <c r="F32" s="39">
        <v>1300000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57">
        <v>0</v>
      </c>
      <c r="M32" s="51">
        <f t="shared" si="0"/>
        <v>1300000</v>
      </c>
      <c r="N32" s="52">
        <f t="shared" si="1"/>
        <v>1</v>
      </c>
    </row>
    <row r="33" spans="1:14">
      <c r="A33" s="151" t="s">
        <v>42</v>
      </c>
      <c r="B33" s="23" t="s">
        <v>43</v>
      </c>
      <c r="C33" s="25">
        <v>1520000</v>
      </c>
      <c r="D33" s="25">
        <v>1520000</v>
      </c>
      <c r="E33" s="42" t="s">
        <v>318</v>
      </c>
      <c r="F33" s="25">
        <v>0</v>
      </c>
      <c r="G33" s="25">
        <v>0</v>
      </c>
      <c r="H33" s="25">
        <v>0</v>
      </c>
      <c r="I33" s="25">
        <v>0</v>
      </c>
      <c r="J33" s="45">
        <v>1520000</v>
      </c>
      <c r="K33" s="25">
        <v>0</v>
      </c>
      <c r="L33" s="160">
        <v>0</v>
      </c>
      <c r="M33" s="51">
        <f t="shared" si="0"/>
        <v>1520000</v>
      </c>
      <c r="N33" s="52">
        <f t="shared" si="1"/>
        <v>1</v>
      </c>
    </row>
    <row r="34" spans="1:14">
      <c r="A34" s="149" t="s">
        <v>44</v>
      </c>
      <c r="B34" s="17" t="s">
        <v>45</v>
      </c>
      <c r="C34" s="18">
        <v>1520000</v>
      </c>
      <c r="D34" s="18">
        <v>1520000</v>
      </c>
      <c r="E34" s="37" t="s">
        <v>318</v>
      </c>
      <c r="F34" s="18">
        <v>0</v>
      </c>
      <c r="G34" s="18">
        <v>0</v>
      </c>
      <c r="H34" s="18">
        <v>0</v>
      </c>
      <c r="I34" s="18">
        <v>0</v>
      </c>
      <c r="J34" s="41">
        <v>1520000</v>
      </c>
      <c r="K34" s="18">
        <v>0</v>
      </c>
      <c r="L34" s="157">
        <v>0</v>
      </c>
      <c r="M34" s="51">
        <f t="shared" si="0"/>
        <v>1520000</v>
      </c>
      <c r="N34" s="52">
        <f t="shared" si="1"/>
        <v>1</v>
      </c>
    </row>
    <row r="35" spans="1:14">
      <c r="A35" s="149" t="s">
        <v>46</v>
      </c>
      <c r="B35" s="17" t="s">
        <v>47</v>
      </c>
      <c r="C35" s="18">
        <v>1520000</v>
      </c>
      <c r="D35" s="18">
        <v>1520000</v>
      </c>
      <c r="E35" s="37" t="s">
        <v>318</v>
      </c>
      <c r="F35" s="18">
        <v>0</v>
      </c>
      <c r="G35" s="18">
        <v>0</v>
      </c>
      <c r="H35" s="18">
        <v>0</v>
      </c>
      <c r="I35" s="18">
        <v>0</v>
      </c>
      <c r="J35" s="41">
        <v>1520000</v>
      </c>
      <c r="K35" s="18">
        <v>0</v>
      </c>
      <c r="L35" s="157">
        <v>0</v>
      </c>
      <c r="M35" s="51">
        <f t="shared" si="0"/>
        <v>1520000</v>
      </c>
      <c r="N35" s="52">
        <f t="shared" si="1"/>
        <v>1</v>
      </c>
    </row>
    <row r="36" spans="1:14">
      <c r="A36" s="149" t="s">
        <v>50</v>
      </c>
      <c r="B36" s="17" t="s">
        <v>51</v>
      </c>
      <c r="C36" s="18">
        <v>1795800</v>
      </c>
      <c r="D36" s="18">
        <v>1795800</v>
      </c>
      <c r="E36" s="37" t="s">
        <v>318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57">
        <v>1795800</v>
      </c>
      <c r="M36" s="51">
        <f t="shared" si="0"/>
        <v>1795800</v>
      </c>
      <c r="N36" s="52">
        <f t="shared" si="1"/>
        <v>1</v>
      </c>
    </row>
    <row r="37" spans="1:14">
      <c r="A37" s="150" t="s">
        <v>24</v>
      </c>
      <c r="B37" s="19" t="s">
        <v>25</v>
      </c>
      <c r="C37" s="21">
        <v>1795800</v>
      </c>
      <c r="D37" s="21">
        <v>1795800</v>
      </c>
      <c r="E37" s="46" t="s">
        <v>318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163">
        <v>1795800</v>
      </c>
      <c r="M37" s="51">
        <f t="shared" si="0"/>
        <v>1795800</v>
      </c>
      <c r="N37" s="52">
        <f t="shared" si="1"/>
        <v>1</v>
      </c>
    </row>
    <row r="38" spans="1:14">
      <c r="A38" s="151" t="s">
        <v>26</v>
      </c>
      <c r="B38" s="23" t="s">
        <v>27</v>
      </c>
      <c r="C38" s="25">
        <v>923800</v>
      </c>
      <c r="D38" s="25">
        <v>923800</v>
      </c>
      <c r="E38" s="42" t="s">
        <v>318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160">
        <v>923800</v>
      </c>
      <c r="M38" s="51">
        <f t="shared" si="0"/>
        <v>923800</v>
      </c>
      <c r="N38" s="52">
        <f t="shared" si="1"/>
        <v>1</v>
      </c>
    </row>
    <row r="39" spans="1:14">
      <c r="A39" s="149" t="s">
        <v>28</v>
      </c>
      <c r="B39" s="17" t="s">
        <v>29</v>
      </c>
      <c r="C39" s="18">
        <v>923800</v>
      </c>
      <c r="D39" s="18">
        <v>923800</v>
      </c>
      <c r="E39" s="37" t="s">
        <v>318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57">
        <v>923800</v>
      </c>
      <c r="M39" s="51">
        <f t="shared" si="0"/>
        <v>923800</v>
      </c>
      <c r="N39" s="52">
        <f t="shared" si="1"/>
        <v>1</v>
      </c>
    </row>
    <row r="40" spans="1:14">
      <c r="A40" s="149" t="s">
        <v>30</v>
      </c>
      <c r="B40" s="17" t="s">
        <v>31</v>
      </c>
      <c r="C40" s="18">
        <v>566400</v>
      </c>
      <c r="D40" s="18">
        <v>566400</v>
      </c>
      <c r="E40" s="37" t="s">
        <v>318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57">
        <v>566400</v>
      </c>
      <c r="M40" s="51">
        <f t="shared" si="0"/>
        <v>566400</v>
      </c>
      <c r="N40" s="52">
        <f t="shared" si="1"/>
        <v>1</v>
      </c>
    </row>
    <row r="41" spans="1:14">
      <c r="A41" s="149" t="s">
        <v>32</v>
      </c>
      <c r="B41" s="17" t="s">
        <v>33</v>
      </c>
      <c r="C41" s="18">
        <v>137800</v>
      </c>
      <c r="D41" s="18">
        <v>137800</v>
      </c>
      <c r="E41" s="37" t="s">
        <v>318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57">
        <v>137800</v>
      </c>
      <c r="M41" s="51">
        <f t="shared" si="0"/>
        <v>137800</v>
      </c>
      <c r="N41" s="52">
        <f t="shared" si="1"/>
        <v>1</v>
      </c>
    </row>
    <row r="42" spans="1:14">
      <c r="A42" s="149" t="s">
        <v>34</v>
      </c>
      <c r="B42" s="17" t="s">
        <v>35</v>
      </c>
      <c r="C42" s="18">
        <v>219600</v>
      </c>
      <c r="D42" s="18">
        <v>219600</v>
      </c>
      <c r="E42" s="37" t="s">
        <v>318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57">
        <v>219600</v>
      </c>
      <c r="M42" s="51">
        <f t="shared" si="0"/>
        <v>219600</v>
      </c>
      <c r="N42" s="52">
        <f t="shared" si="1"/>
        <v>1</v>
      </c>
    </row>
    <row r="43" spans="1:14">
      <c r="A43" s="151" t="s">
        <v>36</v>
      </c>
      <c r="B43" s="23" t="s">
        <v>37</v>
      </c>
      <c r="C43" s="25">
        <v>872000</v>
      </c>
      <c r="D43" s="25">
        <v>872000</v>
      </c>
      <c r="E43" s="36" t="s">
        <v>318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160">
        <v>872000</v>
      </c>
      <c r="M43" s="51">
        <f t="shared" si="0"/>
        <v>872000</v>
      </c>
      <c r="N43" s="52">
        <f t="shared" si="1"/>
        <v>1</v>
      </c>
    </row>
    <row r="44" spans="1:14">
      <c r="A44" s="149" t="s">
        <v>38</v>
      </c>
      <c r="B44" s="17" t="s">
        <v>39</v>
      </c>
      <c r="C44" s="18">
        <v>872000</v>
      </c>
      <c r="D44" s="18">
        <v>872000</v>
      </c>
      <c r="E44" s="37" t="s">
        <v>318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57">
        <v>872000</v>
      </c>
      <c r="M44" s="51">
        <f t="shared" si="0"/>
        <v>872000</v>
      </c>
      <c r="N44" s="52">
        <f t="shared" si="1"/>
        <v>1</v>
      </c>
    </row>
    <row r="45" spans="1:14">
      <c r="A45" s="149" t="s">
        <v>40</v>
      </c>
      <c r="B45" s="17" t="s">
        <v>41</v>
      </c>
      <c r="C45" s="18">
        <v>872000</v>
      </c>
      <c r="D45" s="18">
        <v>872000</v>
      </c>
      <c r="E45" s="37" t="s">
        <v>318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57">
        <v>872000</v>
      </c>
      <c r="M45" s="51">
        <f t="shared" si="0"/>
        <v>872000</v>
      </c>
      <c r="N45" s="52">
        <f t="shared" si="1"/>
        <v>1</v>
      </c>
    </row>
    <row r="46" spans="1:14">
      <c r="A46" s="149" t="s">
        <v>52</v>
      </c>
      <c r="B46" s="17" t="s">
        <v>53</v>
      </c>
      <c r="C46" s="18">
        <v>2999600</v>
      </c>
      <c r="D46" s="18">
        <v>2999600</v>
      </c>
      <c r="E46" s="37">
        <v>2587597</v>
      </c>
      <c r="F46" s="18">
        <v>0</v>
      </c>
      <c r="G46" s="18">
        <v>2121600</v>
      </c>
      <c r="H46" s="18">
        <v>0</v>
      </c>
      <c r="I46" s="18">
        <v>0</v>
      </c>
      <c r="J46" s="18">
        <v>878000</v>
      </c>
      <c r="K46" s="18">
        <v>0</v>
      </c>
      <c r="L46" s="157">
        <v>0</v>
      </c>
      <c r="M46" s="51">
        <f t="shared" si="0"/>
        <v>2999600</v>
      </c>
      <c r="N46" s="52">
        <f t="shared" si="1"/>
        <v>1</v>
      </c>
    </row>
    <row r="47" spans="1:14">
      <c r="A47" s="150" t="s">
        <v>24</v>
      </c>
      <c r="B47" s="19" t="s">
        <v>25</v>
      </c>
      <c r="C47" s="21">
        <v>2999600</v>
      </c>
      <c r="D47" s="21">
        <v>2999600</v>
      </c>
      <c r="E47" s="46">
        <v>2587597</v>
      </c>
      <c r="F47" s="21">
        <v>0</v>
      </c>
      <c r="G47" s="21">
        <v>2121600</v>
      </c>
      <c r="H47" s="21">
        <v>0</v>
      </c>
      <c r="I47" s="21">
        <v>0</v>
      </c>
      <c r="J47" s="21">
        <v>878000</v>
      </c>
      <c r="K47" s="21">
        <v>0</v>
      </c>
      <c r="L47" s="163">
        <v>0</v>
      </c>
      <c r="M47" s="51">
        <f t="shared" si="0"/>
        <v>2999600</v>
      </c>
      <c r="N47" s="52">
        <f t="shared" si="1"/>
        <v>1</v>
      </c>
    </row>
    <row r="48" spans="1:14">
      <c r="A48" s="151" t="s">
        <v>26</v>
      </c>
      <c r="B48" s="23" t="s">
        <v>27</v>
      </c>
      <c r="C48" s="25">
        <v>1221600</v>
      </c>
      <c r="D48" s="25">
        <v>1221600</v>
      </c>
      <c r="E48" s="42">
        <v>1132597</v>
      </c>
      <c r="F48" s="25">
        <v>0</v>
      </c>
      <c r="G48" s="25">
        <v>1221600</v>
      </c>
      <c r="H48" s="25">
        <v>0</v>
      </c>
      <c r="I48" s="25">
        <v>0</v>
      </c>
      <c r="J48" s="25">
        <v>0</v>
      </c>
      <c r="K48" s="25">
        <v>0</v>
      </c>
      <c r="L48" s="160">
        <v>0</v>
      </c>
      <c r="M48" s="51">
        <f t="shared" si="0"/>
        <v>1221600</v>
      </c>
      <c r="N48" s="52">
        <f t="shared" si="1"/>
        <v>1</v>
      </c>
    </row>
    <row r="49" spans="1:14">
      <c r="A49" s="149" t="s">
        <v>28</v>
      </c>
      <c r="B49" s="17" t="s">
        <v>29</v>
      </c>
      <c r="C49" s="18">
        <v>1221600</v>
      </c>
      <c r="D49" s="18">
        <v>1221600</v>
      </c>
      <c r="E49" s="37">
        <v>1132597</v>
      </c>
      <c r="F49" s="18">
        <v>0</v>
      </c>
      <c r="G49" s="18">
        <v>1221600</v>
      </c>
      <c r="H49" s="18">
        <v>0</v>
      </c>
      <c r="I49" s="18">
        <v>0</v>
      </c>
      <c r="J49" s="18">
        <v>0</v>
      </c>
      <c r="K49" s="18">
        <v>0</v>
      </c>
      <c r="L49" s="157">
        <v>0</v>
      </c>
      <c r="M49" s="51">
        <f t="shared" si="0"/>
        <v>1221600</v>
      </c>
      <c r="N49" s="52">
        <f t="shared" si="1"/>
        <v>1</v>
      </c>
    </row>
    <row r="50" spans="1:14">
      <c r="A50" s="149" t="s">
        <v>30</v>
      </c>
      <c r="B50" s="17" t="s">
        <v>31</v>
      </c>
      <c r="C50" s="18">
        <v>694400</v>
      </c>
      <c r="D50" s="18">
        <v>694400</v>
      </c>
      <c r="E50" s="37">
        <v>625327</v>
      </c>
      <c r="F50" s="18">
        <v>0</v>
      </c>
      <c r="G50" s="39">
        <v>694400</v>
      </c>
      <c r="H50" s="18">
        <v>0</v>
      </c>
      <c r="I50" s="18">
        <v>0</v>
      </c>
      <c r="J50" s="18">
        <v>0</v>
      </c>
      <c r="K50" s="18">
        <v>0</v>
      </c>
      <c r="L50" s="157">
        <v>0</v>
      </c>
      <c r="M50" s="51">
        <f t="shared" si="0"/>
        <v>694400</v>
      </c>
      <c r="N50" s="52">
        <f t="shared" si="1"/>
        <v>1</v>
      </c>
    </row>
    <row r="51" spans="1:14">
      <c r="A51" s="149" t="s">
        <v>32</v>
      </c>
      <c r="B51" s="17" t="s">
        <v>33</v>
      </c>
      <c r="C51" s="18">
        <v>249800</v>
      </c>
      <c r="D51" s="18">
        <v>249800</v>
      </c>
      <c r="E51" s="37">
        <v>234210</v>
      </c>
      <c r="F51" s="18">
        <v>0</v>
      </c>
      <c r="G51" s="39">
        <v>249800</v>
      </c>
      <c r="H51" s="18">
        <v>0</v>
      </c>
      <c r="I51" s="18">
        <v>0</v>
      </c>
      <c r="J51" s="18">
        <v>0</v>
      </c>
      <c r="K51" s="18">
        <v>0</v>
      </c>
      <c r="L51" s="157">
        <v>0</v>
      </c>
      <c r="M51" s="51">
        <f t="shared" si="0"/>
        <v>249800</v>
      </c>
      <c r="N51" s="52">
        <f t="shared" si="1"/>
        <v>1</v>
      </c>
    </row>
    <row r="52" spans="1:14">
      <c r="A52" s="149" t="s">
        <v>34</v>
      </c>
      <c r="B52" s="17" t="s">
        <v>35</v>
      </c>
      <c r="C52" s="18">
        <v>277400</v>
      </c>
      <c r="D52" s="18">
        <v>277400</v>
      </c>
      <c r="E52" s="37">
        <v>273060</v>
      </c>
      <c r="F52" s="18">
        <v>0</v>
      </c>
      <c r="G52" s="39">
        <v>277400</v>
      </c>
      <c r="H52" s="18">
        <v>0</v>
      </c>
      <c r="I52" s="18">
        <v>0</v>
      </c>
      <c r="J52" s="18">
        <v>0</v>
      </c>
      <c r="K52" s="18">
        <v>0</v>
      </c>
      <c r="L52" s="157">
        <v>0</v>
      </c>
      <c r="M52" s="51">
        <f t="shared" si="0"/>
        <v>277400</v>
      </c>
      <c r="N52" s="52">
        <f t="shared" si="1"/>
        <v>1</v>
      </c>
    </row>
    <row r="53" spans="1:14">
      <c r="A53" s="151" t="s">
        <v>36</v>
      </c>
      <c r="B53" s="23" t="s">
        <v>37</v>
      </c>
      <c r="C53" s="25">
        <v>1778000</v>
      </c>
      <c r="D53" s="25">
        <v>1778000</v>
      </c>
      <c r="E53" s="42">
        <v>1455000</v>
      </c>
      <c r="F53" s="25">
        <v>0</v>
      </c>
      <c r="G53" s="43">
        <v>900000</v>
      </c>
      <c r="H53" s="25">
        <v>0</v>
      </c>
      <c r="I53" s="25">
        <v>0</v>
      </c>
      <c r="J53" s="44">
        <v>878000</v>
      </c>
      <c r="K53" s="25">
        <v>0</v>
      </c>
      <c r="L53" s="160">
        <v>0</v>
      </c>
      <c r="M53" s="51">
        <f t="shared" si="0"/>
        <v>1778000</v>
      </c>
      <c r="N53" s="52">
        <f t="shared" si="1"/>
        <v>1</v>
      </c>
    </row>
    <row r="54" spans="1:14">
      <c r="A54" s="149" t="s">
        <v>38</v>
      </c>
      <c r="B54" s="17" t="s">
        <v>39</v>
      </c>
      <c r="C54" s="18">
        <v>1778000</v>
      </c>
      <c r="D54" s="18">
        <v>1778000</v>
      </c>
      <c r="E54" s="37">
        <v>1455000</v>
      </c>
      <c r="F54" s="18">
        <v>0</v>
      </c>
      <c r="G54" s="39">
        <v>900000</v>
      </c>
      <c r="H54" s="18">
        <v>0</v>
      </c>
      <c r="I54" s="18">
        <v>0</v>
      </c>
      <c r="J54" s="40">
        <v>878000</v>
      </c>
      <c r="K54" s="18">
        <v>0</v>
      </c>
      <c r="L54" s="157">
        <v>0</v>
      </c>
      <c r="M54" s="51">
        <f t="shared" si="0"/>
        <v>1778000</v>
      </c>
      <c r="N54" s="52">
        <f t="shared" si="1"/>
        <v>1</v>
      </c>
    </row>
    <row r="55" spans="1:14">
      <c r="A55" s="149" t="s">
        <v>40</v>
      </c>
      <c r="B55" s="17" t="s">
        <v>41</v>
      </c>
      <c r="C55" s="18">
        <v>1778000</v>
      </c>
      <c r="D55" s="18">
        <v>1778000</v>
      </c>
      <c r="E55" s="37">
        <v>1455000</v>
      </c>
      <c r="F55" s="18">
        <v>0</v>
      </c>
      <c r="G55" s="39">
        <v>900000</v>
      </c>
      <c r="H55" s="18">
        <v>0</v>
      </c>
      <c r="I55" s="18">
        <v>0</v>
      </c>
      <c r="J55" s="40">
        <v>878000</v>
      </c>
      <c r="K55" s="18">
        <v>0</v>
      </c>
      <c r="L55" s="157">
        <v>0</v>
      </c>
      <c r="M55" s="51">
        <f t="shared" si="0"/>
        <v>1778000</v>
      </c>
      <c r="N55" s="52">
        <f t="shared" si="1"/>
        <v>1</v>
      </c>
    </row>
    <row r="56" spans="1:14">
      <c r="A56" s="149" t="s">
        <v>54</v>
      </c>
      <c r="B56" s="17" t="s">
        <v>55</v>
      </c>
      <c r="C56" s="18">
        <v>2359200</v>
      </c>
      <c r="D56" s="18">
        <v>2359200</v>
      </c>
      <c r="E56" s="37" t="s">
        <v>318</v>
      </c>
      <c r="F56" s="18">
        <v>0</v>
      </c>
      <c r="G56" s="18">
        <v>54</v>
      </c>
      <c r="H56" s="18">
        <v>0</v>
      </c>
      <c r="I56" s="18">
        <v>0</v>
      </c>
      <c r="J56" s="18">
        <v>0</v>
      </c>
      <c r="K56" s="18">
        <v>0</v>
      </c>
      <c r="L56" s="157">
        <v>0</v>
      </c>
      <c r="M56" s="51">
        <f t="shared" si="0"/>
        <v>54</v>
      </c>
      <c r="N56" s="52">
        <f t="shared" si="1"/>
        <v>2.2889114954221771E-5</v>
      </c>
    </row>
    <row r="57" spans="1:14">
      <c r="A57" s="150" t="s">
        <v>24</v>
      </c>
      <c r="B57" s="19" t="s">
        <v>25</v>
      </c>
      <c r="C57" s="21">
        <v>2359200</v>
      </c>
      <c r="D57" s="21">
        <v>2359200</v>
      </c>
      <c r="E57" s="46" t="s">
        <v>318</v>
      </c>
      <c r="F57" s="21">
        <v>0</v>
      </c>
      <c r="G57" s="21">
        <v>54</v>
      </c>
      <c r="H57" s="21">
        <v>0</v>
      </c>
      <c r="I57" s="21">
        <v>0</v>
      </c>
      <c r="J57" s="21">
        <v>0</v>
      </c>
      <c r="K57" s="21">
        <v>0</v>
      </c>
      <c r="L57" s="163">
        <v>0</v>
      </c>
      <c r="M57" s="51">
        <f t="shared" si="0"/>
        <v>54</v>
      </c>
      <c r="N57" s="52">
        <f t="shared" si="1"/>
        <v>2.2889114954221771E-5</v>
      </c>
    </row>
    <row r="58" spans="1:14">
      <c r="A58" s="151" t="s">
        <v>26</v>
      </c>
      <c r="B58" s="23" t="s">
        <v>27</v>
      </c>
      <c r="C58" s="25">
        <v>1237200</v>
      </c>
      <c r="D58" s="25">
        <v>1237200</v>
      </c>
      <c r="E58" s="42" t="s">
        <v>318</v>
      </c>
      <c r="F58" s="25">
        <v>0</v>
      </c>
      <c r="G58" s="25">
        <v>54</v>
      </c>
      <c r="H58" s="25">
        <v>0</v>
      </c>
      <c r="I58" s="25">
        <v>0</v>
      </c>
      <c r="J58" s="25">
        <v>0</v>
      </c>
      <c r="K58" s="25">
        <v>0</v>
      </c>
      <c r="L58" s="160">
        <v>0</v>
      </c>
      <c r="M58" s="51">
        <f t="shared" si="0"/>
        <v>54</v>
      </c>
      <c r="N58" s="52">
        <f t="shared" si="1"/>
        <v>4.3646944713870028E-5</v>
      </c>
    </row>
    <row r="59" spans="1:14">
      <c r="A59" s="149" t="s">
        <v>28</v>
      </c>
      <c r="B59" s="17" t="s">
        <v>29</v>
      </c>
      <c r="C59" s="18">
        <v>1237200</v>
      </c>
      <c r="D59" s="18">
        <v>1237200</v>
      </c>
      <c r="E59" s="37" t="s">
        <v>318</v>
      </c>
      <c r="F59" s="18">
        <v>0</v>
      </c>
      <c r="G59" s="18">
        <v>54</v>
      </c>
      <c r="H59" s="18">
        <v>0</v>
      </c>
      <c r="I59" s="18">
        <v>0</v>
      </c>
      <c r="J59" s="18">
        <v>0</v>
      </c>
      <c r="K59" s="18">
        <v>0</v>
      </c>
      <c r="L59" s="157">
        <v>0</v>
      </c>
      <c r="M59" s="51">
        <f t="shared" si="0"/>
        <v>54</v>
      </c>
      <c r="N59" s="52">
        <f t="shared" si="1"/>
        <v>4.3646944713870028E-5</v>
      </c>
    </row>
    <row r="60" spans="1:14">
      <c r="A60" s="149" t="s">
        <v>30</v>
      </c>
      <c r="B60" s="17" t="s">
        <v>31</v>
      </c>
      <c r="C60" s="18">
        <v>774600</v>
      </c>
      <c r="D60" s="18">
        <v>774600</v>
      </c>
      <c r="E60" s="37" t="s">
        <v>318</v>
      </c>
      <c r="F60" s="18">
        <v>0</v>
      </c>
      <c r="G60" s="18">
        <v>54</v>
      </c>
      <c r="H60" s="18">
        <v>0</v>
      </c>
      <c r="I60" s="18">
        <v>0</v>
      </c>
      <c r="J60" s="18">
        <v>0</v>
      </c>
      <c r="K60" s="18">
        <v>0</v>
      </c>
      <c r="L60" s="157">
        <v>0</v>
      </c>
      <c r="M60" s="51">
        <f t="shared" si="0"/>
        <v>54</v>
      </c>
      <c r="N60" s="52">
        <f t="shared" si="1"/>
        <v>6.9713400464756003E-5</v>
      </c>
    </row>
    <row r="61" spans="1:14">
      <c r="A61" s="149" t="s">
        <v>32</v>
      </c>
      <c r="B61" s="17" t="s">
        <v>33</v>
      </c>
      <c r="C61" s="18">
        <v>137800</v>
      </c>
      <c r="D61" s="18">
        <v>137800</v>
      </c>
      <c r="E61" s="37" t="s">
        <v>318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57">
        <v>0</v>
      </c>
      <c r="M61" s="51">
        <f t="shared" si="0"/>
        <v>0</v>
      </c>
      <c r="N61" s="52">
        <f t="shared" si="1"/>
        <v>0</v>
      </c>
    </row>
    <row r="62" spans="1:14">
      <c r="A62" s="149" t="s">
        <v>34</v>
      </c>
      <c r="B62" s="17" t="s">
        <v>35</v>
      </c>
      <c r="C62" s="18">
        <v>324800</v>
      </c>
      <c r="D62" s="18">
        <v>324800</v>
      </c>
      <c r="E62" s="37" t="s">
        <v>318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57">
        <v>0</v>
      </c>
      <c r="M62" s="51">
        <f t="shared" si="0"/>
        <v>0</v>
      </c>
      <c r="N62" s="52">
        <f t="shared" si="1"/>
        <v>0</v>
      </c>
    </row>
    <row r="63" spans="1:14">
      <c r="A63" s="151" t="s">
        <v>36</v>
      </c>
      <c r="B63" s="23" t="s">
        <v>37</v>
      </c>
      <c r="C63" s="25">
        <v>1122000</v>
      </c>
      <c r="D63" s="25">
        <v>1122000</v>
      </c>
      <c r="E63" s="42" t="s">
        <v>318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160">
        <v>0</v>
      </c>
      <c r="M63" s="51">
        <f t="shared" si="0"/>
        <v>0</v>
      </c>
      <c r="N63" s="52">
        <f t="shared" si="1"/>
        <v>0</v>
      </c>
    </row>
    <row r="64" spans="1:14">
      <c r="A64" s="149" t="s">
        <v>38</v>
      </c>
      <c r="B64" s="17" t="s">
        <v>39</v>
      </c>
      <c r="C64" s="18">
        <v>1122000</v>
      </c>
      <c r="D64" s="18">
        <v>1122000</v>
      </c>
      <c r="E64" s="37" t="s">
        <v>318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57">
        <v>0</v>
      </c>
      <c r="M64" s="51">
        <f t="shared" ref="M64:M122" si="2">SUM(F64:L64)</f>
        <v>0</v>
      </c>
      <c r="N64" s="52">
        <f t="shared" ref="N64:N122" si="3">M64/D64*100%</f>
        <v>0</v>
      </c>
    </row>
    <row r="65" spans="1:14">
      <c r="A65" s="149" t="s">
        <v>40</v>
      </c>
      <c r="B65" s="17" t="s">
        <v>41</v>
      </c>
      <c r="C65" s="18">
        <v>1122000</v>
      </c>
      <c r="D65" s="18">
        <v>1122000</v>
      </c>
      <c r="E65" s="37" t="s">
        <v>318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57">
        <v>0</v>
      </c>
      <c r="M65" s="51">
        <f t="shared" si="2"/>
        <v>0</v>
      </c>
      <c r="N65" s="52">
        <f t="shared" si="3"/>
        <v>0</v>
      </c>
    </row>
    <row r="66" spans="1:14" ht="25.75">
      <c r="A66" s="149" t="s">
        <v>56</v>
      </c>
      <c r="B66" s="17" t="s">
        <v>57</v>
      </c>
      <c r="C66" s="18">
        <v>3978600</v>
      </c>
      <c r="D66" s="18">
        <v>3978600</v>
      </c>
      <c r="E66" s="37">
        <v>2144550</v>
      </c>
      <c r="F66" s="18">
        <v>0</v>
      </c>
      <c r="G66" s="18">
        <v>2885600</v>
      </c>
      <c r="H66" s="18">
        <v>0</v>
      </c>
      <c r="I66" s="18">
        <v>0</v>
      </c>
      <c r="J66" s="18">
        <v>0</v>
      </c>
      <c r="K66" s="18">
        <v>1093000</v>
      </c>
      <c r="L66" s="157">
        <v>0</v>
      </c>
      <c r="M66" s="51">
        <f t="shared" si="2"/>
        <v>3978600</v>
      </c>
      <c r="N66" s="52">
        <f t="shared" si="3"/>
        <v>1</v>
      </c>
    </row>
    <row r="67" spans="1:14">
      <c r="A67" s="150" t="s">
        <v>24</v>
      </c>
      <c r="B67" s="19" t="s">
        <v>25</v>
      </c>
      <c r="C67" s="21">
        <v>3978600</v>
      </c>
      <c r="D67" s="21">
        <v>3978600</v>
      </c>
      <c r="E67" s="46">
        <v>2144550</v>
      </c>
      <c r="F67" s="21">
        <v>0</v>
      </c>
      <c r="G67" s="21">
        <v>2885600</v>
      </c>
      <c r="H67" s="21">
        <v>0</v>
      </c>
      <c r="I67" s="21">
        <v>0</v>
      </c>
      <c r="J67" s="21">
        <v>0</v>
      </c>
      <c r="K67" s="21">
        <v>1093000</v>
      </c>
      <c r="L67" s="163">
        <v>0</v>
      </c>
      <c r="M67" s="51">
        <f t="shared" si="2"/>
        <v>3978600</v>
      </c>
      <c r="N67" s="52">
        <f t="shared" si="3"/>
        <v>1</v>
      </c>
    </row>
    <row r="68" spans="1:14">
      <c r="A68" s="151" t="s">
        <v>26</v>
      </c>
      <c r="B68" s="23" t="s">
        <v>27</v>
      </c>
      <c r="C68" s="25">
        <v>1735600</v>
      </c>
      <c r="D68" s="25">
        <v>1735600</v>
      </c>
      <c r="E68" s="42">
        <v>1004550</v>
      </c>
      <c r="F68" s="25">
        <v>0</v>
      </c>
      <c r="G68" s="25">
        <v>1735600</v>
      </c>
      <c r="H68" s="25">
        <v>0</v>
      </c>
      <c r="I68" s="25">
        <v>0</v>
      </c>
      <c r="J68" s="25">
        <v>0</v>
      </c>
      <c r="K68" s="25">
        <v>0</v>
      </c>
      <c r="L68" s="160">
        <v>0</v>
      </c>
      <c r="M68" s="51">
        <f t="shared" si="2"/>
        <v>1735600</v>
      </c>
      <c r="N68" s="52">
        <f t="shared" si="3"/>
        <v>1</v>
      </c>
    </row>
    <row r="69" spans="1:14">
      <c r="A69" s="149" t="s">
        <v>28</v>
      </c>
      <c r="B69" s="17" t="s">
        <v>29</v>
      </c>
      <c r="C69" s="18">
        <v>1735600</v>
      </c>
      <c r="D69" s="18">
        <v>1735600</v>
      </c>
      <c r="E69" s="37">
        <v>1004550</v>
      </c>
      <c r="F69" s="18">
        <v>0</v>
      </c>
      <c r="G69" s="18">
        <v>1735600</v>
      </c>
      <c r="H69" s="18">
        <v>0</v>
      </c>
      <c r="I69" s="18">
        <v>0</v>
      </c>
      <c r="J69" s="18">
        <v>0</v>
      </c>
      <c r="K69" s="18">
        <v>0</v>
      </c>
      <c r="L69" s="157">
        <v>0</v>
      </c>
      <c r="M69" s="51">
        <f t="shared" si="2"/>
        <v>1735600</v>
      </c>
      <c r="N69" s="52">
        <f t="shared" si="3"/>
        <v>1</v>
      </c>
    </row>
    <row r="70" spans="1:14">
      <c r="A70" s="149" t="s">
        <v>30</v>
      </c>
      <c r="B70" s="17" t="s">
        <v>31</v>
      </c>
      <c r="C70" s="18">
        <v>652400</v>
      </c>
      <c r="D70" s="18">
        <v>652400</v>
      </c>
      <c r="E70" s="37" t="s">
        <v>318</v>
      </c>
      <c r="F70" s="18">
        <v>0</v>
      </c>
      <c r="G70" s="41">
        <v>652400</v>
      </c>
      <c r="H70" s="18">
        <v>0</v>
      </c>
      <c r="I70" s="18">
        <v>0</v>
      </c>
      <c r="J70" s="18">
        <v>0</v>
      </c>
      <c r="K70" s="18">
        <v>0</v>
      </c>
      <c r="L70" s="157">
        <v>0</v>
      </c>
      <c r="M70" s="51">
        <f t="shared" si="2"/>
        <v>652400</v>
      </c>
      <c r="N70" s="52">
        <f t="shared" si="3"/>
        <v>1</v>
      </c>
    </row>
    <row r="71" spans="1:14">
      <c r="A71" s="149" t="s">
        <v>32</v>
      </c>
      <c r="B71" s="17" t="s">
        <v>33</v>
      </c>
      <c r="C71" s="18">
        <v>275600</v>
      </c>
      <c r="D71" s="18">
        <v>275600</v>
      </c>
      <c r="E71" s="37">
        <v>253080</v>
      </c>
      <c r="F71" s="18">
        <v>0</v>
      </c>
      <c r="G71" s="39">
        <v>275600</v>
      </c>
      <c r="H71" s="18">
        <v>0</v>
      </c>
      <c r="I71" s="18">
        <v>0</v>
      </c>
      <c r="J71" s="18">
        <v>0</v>
      </c>
      <c r="K71" s="18">
        <v>0</v>
      </c>
      <c r="L71" s="157">
        <v>0</v>
      </c>
      <c r="M71" s="51">
        <f t="shared" si="2"/>
        <v>275600</v>
      </c>
      <c r="N71" s="52">
        <f t="shared" si="3"/>
        <v>1</v>
      </c>
    </row>
    <row r="72" spans="1:14">
      <c r="A72" s="149" t="s">
        <v>34</v>
      </c>
      <c r="B72" s="17" t="s">
        <v>35</v>
      </c>
      <c r="C72" s="18">
        <v>807600</v>
      </c>
      <c r="D72" s="18">
        <v>807600</v>
      </c>
      <c r="E72" s="37">
        <v>751470</v>
      </c>
      <c r="F72" s="18">
        <v>0</v>
      </c>
      <c r="G72" s="39">
        <v>807600</v>
      </c>
      <c r="H72" s="18">
        <v>0</v>
      </c>
      <c r="I72" s="18">
        <v>0</v>
      </c>
      <c r="J72" s="18">
        <v>0</v>
      </c>
      <c r="K72" s="18">
        <v>0</v>
      </c>
      <c r="L72" s="157">
        <v>0</v>
      </c>
      <c r="M72" s="51">
        <f t="shared" si="2"/>
        <v>807600</v>
      </c>
      <c r="N72" s="52">
        <f t="shared" si="3"/>
        <v>1</v>
      </c>
    </row>
    <row r="73" spans="1:14">
      <c r="A73" s="151" t="s">
        <v>36</v>
      </c>
      <c r="B73" s="23" t="s">
        <v>37</v>
      </c>
      <c r="C73" s="25">
        <v>2243000</v>
      </c>
      <c r="D73" s="25">
        <v>2243000</v>
      </c>
      <c r="E73" s="42">
        <v>1140000</v>
      </c>
      <c r="F73" s="25">
        <v>0</v>
      </c>
      <c r="G73" s="43">
        <v>1150000</v>
      </c>
      <c r="H73" s="25">
        <v>0</v>
      </c>
      <c r="I73" s="25">
        <v>0</v>
      </c>
      <c r="J73" s="25">
        <v>0</v>
      </c>
      <c r="K73" s="45">
        <v>1093000</v>
      </c>
      <c r="L73" s="160">
        <v>0</v>
      </c>
      <c r="M73" s="51">
        <f t="shared" si="2"/>
        <v>2243000</v>
      </c>
      <c r="N73" s="52">
        <f t="shared" si="3"/>
        <v>1</v>
      </c>
    </row>
    <row r="74" spans="1:14">
      <c r="A74" s="149" t="s">
        <v>38</v>
      </c>
      <c r="B74" s="17" t="s">
        <v>39</v>
      </c>
      <c r="C74" s="18">
        <v>2243000</v>
      </c>
      <c r="D74" s="18">
        <v>2243000</v>
      </c>
      <c r="E74" s="37">
        <v>1140000</v>
      </c>
      <c r="F74" s="18">
        <v>0</v>
      </c>
      <c r="G74" s="39">
        <v>1150000</v>
      </c>
      <c r="H74" s="18">
        <v>0</v>
      </c>
      <c r="I74" s="18">
        <v>0</v>
      </c>
      <c r="J74" s="18">
        <v>0</v>
      </c>
      <c r="K74" s="41">
        <v>1093000</v>
      </c>
      <c r="L74" s="157">
        <v>0</v>
      </c>
      <c r="M74" s="51">
        <f t="shared" si="2"/>
        <v>2243000</v>
      </c>
      <c r="N74" s="52">
        <f t="shared" si="3"/>
        <v>1</v>
      </c>
    </row>
    <row r="75" spans="1:14">
      <c r="A75" s="149" t="s">
        <v>40</v>
      </c>
      <c r="B75" s="17" t="s">
        <v>41</v>
      </c>
      <c r="C75" s="18">
        <v>2243000</v>
      </c>
      <c r="D75" s="18">
        <v>2243000</v>
      </c>
      <c r="E75" s="37">
        <v>1140000</v>
      </c>
      <c r="F75" s="18">
        <v>0</v>
      </c>
      <c r="G75" s="39">
        <v>1150000</v>
      </c>
      <c r="H75" s="18">
        <v>0</v>
      </c>
      <c r="I75" s="18">
        <v>0</v>
      </c>
      <c r="J75" s="18">
        <v>0</v>
      </c>
      <c r="K75" s="41">
        <v>1093000</v>
      </c>
      <c r="L75" s="157">
        <v>0</v>
      </c>
      <c r="M75" s="51">
        <f t="shared" si="2"/>
        <v>2243000</v>
      </c>
      <c r="N75" s="52">
        <f t="shared" si="3"/>
        <v>1</v>
      </c>
    </row>
    <row r="76" spans="1:14">
      <c r="A76" s="147" t="s">
        <v>58</v>
      </c>
      <c r="B76" s="9" t="s">
        <v>59</v>
      </c>
      <c r="C76" s="11">
        <v>2663689800</v>
      </c>
      <c r="D76" s="11">
        <v>2663689800</v>
      </c>
      <c r="E76" s="36">
        <v>1405664020</v>
      </c>
      <c r="F76" s="11">
        <v>194651043</v>
      </c>
      <c r="G76" s="11">
        <v>415043070</v>
      </c>
      <c r="H76" s="11">
        <v>218417825</v>
      </c>
      <c r="I76" s="11">
        <v>194837447</v>
      </c>
      <c r="J76" s="11">
        <v>212358635</v>
      </c>
      <c r="K76" s="11">
        <v>415385686</v>
      </c>
      <c r="L76" s="155">
        <v>215505435</v>
      </c>
      <c r="M76" s="51">
        <f t="shared" si="2"/>
        <v>1866199141</v>
      </c>
      <c r="N76" s="52">
        <f t="shared" si="3"/>
        <v>0.70060678274174415</v>
      </c>
    </row>
    <row r="77" spans="1:14">
      <c r="A77" s="149" t="s">
        <v>60</v>
      </c>
      <c r="B77" s="17" t="s">
        <v>61</v>
      </c>
      <c r="C77" s="18">
        <v>2487412300</v>
      </c>
      <c r="D77" s="18">
        <v>2487412300</v>
      </c>
      <c r="E77" s="37">
        <v>1352677837</v>
      </c>
      <c r="F77" s="18">
        <v>179545843</v>
      </c>
      <c r="G77" s="18">
        <v>394419396</v>
      </c>
      <c r="H77" s="18">
        <v>205572825</v>
      </c>
      <c r="I77" s="18">
        <v>179079247</v>
      </c>
      <c r="J77" s="18">
        <v>197451535</v>
      </c>
      <c r="K77" s="18">
        <v>402540686</v>
      </c>
      <c r="L77" s="157">
        <v>197715535</v>
      </c>
      <c r="M77" s="51">
        <f t="shared" si="2"/>
        <v>1756325067</v>
      </c>
      <c r="N77" s="52">
        <f t="shared" si="3"/>
        <v>0.70608522238150873</v>
      </c>
    </row>
    <row r="78" spans="1:14">
      <c r="A78" s="150" t="s">
        <v>62</v>
      </c>
      <c r="B78" s="19" t="s">
        <v>63</v>
      </c>
      <c r="C78" s="21">
        <v>2487412300</v>
      </c>
      <c r="D78" s="21">
        <v>2487412300</v>
      </c>
      <c r="E78" s="46">
        <v>1352677837</v>
      </c>
      <c r="F78" s="21">
        <v>179545843</v>
      </c>
      <c r="G78" s="21">
        <v>394419396</v>
      </c>
      <c r="H78" s="21">
        <v>205572825</v>
      </c>
      <c r="I78" s="21">
        <v>179079247</v>
      </c>
      <c r="J78" s="21">
        <v>197451535</v>
      </c>
      <c r="K78" s="21">
        <v>402540686</v>
      </c>
      <c r="L78" s="163">
        <v>197715535</v>
      </c>
      <c r="M78" s="51">
        <f t="shared" si="2"/>
        <v>1756325067</v>
      </c>
      <c r="N78" s="52">
        <f t="shared" si="3"/>
        <v>0.70608522238150873</v>
      </c>
    </row>
    <row r="79" spans="1:14">
      <c r="A79" s="151" t="s">
        <v>64</v>
      </c>
      <c r="B79" s="23" t="s">
        <v>65</v>
      </c>
      <c r="C79" s="25">
        <v>1671908000</v>
      </c>
      <c r="D79" s="25">
        <v>1671908000</v>
      </c>
      <c r="E79" s="42">
        <v>1056931132</v>
      </c>
      <c r="F79" s="25">
        <v>126095843</v>
      </c>
      <c r="G79" s="25">
        <v>276829396</v>
      </c>
      <c r="H79" s="25">
        <v>146777825</v>
      </c>
      <c r="I79" s="25">
        <v>120284247</v>
      </c>
      <c r="J79" s="25">
        <v>138656535</v>
      </c>
      <c r="K79" s="25">
        <v>284950686</v>
      </c>
      <c r="L79" s="160">
        <v>138920535</v>
      </c>
      <c r="M79" s="51">
        <f t="shared" si="2"/>
        <v>1232515067</v>
      </c>
      <c r="N79" s="52">
        <f t="shared" si="3"/>
        <v>0.73719072281489173</v>
      </c>
    </row>
    <row r="80" spans="1:14">
      <c r="A80" s="149" t="s">
        <v>66</v>
      </c>
      <c r="B80" s="17" t="s">
        <v>67</v>
      </c>
      <c r="C80" s="18">
        <v>1149414000</v>
      </c>
      <c r="D80" s="18">
        <v>1149414000</v>
      </c>
      <c r="E80" s="37">
        <v>766782694</v>
      </c>
      <c r="F80" s="39">
        <v>90943880</v>
      </c>
      <c r="G80" s="39">
        <v>200076536</v>
      </c>
      <c r="H80" s="39">
        <v>100038268</v>
      </c>
      <c r="I80" s="39">
        <v>81665980</v>
      </c>
      <c r="J80" s="39">
        <v>100038268</v>
      </c>
      <c r="K80" s="39">
        <v>200076536</v>
      </c>
      <c r="L80" s="162">
        <v>100038268</v>
      </c>
      <c r="M80" s="51">
        <f t="shared" si="2"/>
        <v>872877736</v>
      </c>
      <c r="N80" s="52">
        <f t="shared" si="3"/>
        <v>0.7594110877368816</v>
      </c>
    </row>
    <row r="81" spans="1:14">
      <c r="A81" s="149" t="s">
        <v>68</v>
      </c>
      <c r="B81" s="17" t="s">
        <v>69</v>
      </c>
      <c r="C81" s="18">
        <v>1149414000</v>
      </c>
      <c r="D81" s="18">
        <v>1149414000</v>
      </c>
      <c r="E81" s="37">
        <v>766782694</v>
      </c>
      <c r="F81" s="39">
        <v>90943880</v>
      </c>
      <c r="G81" s="39">
        <v>200076536</v>
      </c>
      <c r="H81" s="39">
        <v>100038268</v>
      </c>
      <c r="I81" s="39">
        <v>81665980</v>
      </c>
      <c r="J81" s="39">
        <v>100038268</v>
      </c>
      <c r="K81" s="39">
        <v>200076536</v>
      </c>
      <c r="L81" s="162">
        <v>100038268</v>
      </c>
      <c r="M81" s="51">
        <f t="shared" si="2"/>
        <v>872877736</v>
      </c>
      <c r="N81" s="52">
        <f t="shared" si="3"/>
        <v>0.7594110877368816</v>
      </c>
    </row>
    <row r="82" spans="1:14">
      <c r="A82" s="149" t="s">
        <v>70</v>
      </c>
      <c r="B82" s="17" t="s">
        <v>71</v>
      </c>
      <c r="C82" s="18">
        <v>154448000</v>
      </c>
      <c r="D82" s="18">
        <v>154448000</v>
      </c>
      <c r="E82" s="37">
        <v>83164040</v>
      </c>
      <c r="F82" s="39">
        <v>10429959</v>
      </c>
      <c r="G82" s="39">
        <v>22945910</v>
      </c>
      <c r="H82" s="39">
        <v>11472955</v>
      </c>
      <c r="I82" s="39">
        <v>11472955</v>
      </c>
      <c r="J82" s="39">
        <v>11472955</v>
      </c>
      <c r="K82" s="39">
        <v>22945910</v>
      </c>
      <c r="L82" s="162">
        <v>11472955</v>
      </c>
      <c r="M82" s="51">
        <f t="shared" si="2"/>
        <v>102213599</v>
      </c>
      <c r="N82" s="52">
        <f t="shared" si="3"/>
        <v>0.66179943411374698</v>
      </c>
    </row>
    <row r="83" spans="1:14">
      <c r="A83" s="149" t="s">
        <v>72</v>
      </c>
      <c r="B83" s="17" t="s">
        <v>73</v>
      </c>
      <c r="C83" s="18">
        <v>154448000</v>
      </c>
      <c r="D83" s="18">
        <v>154448000</v>
      </c>
      <c r="E83" s="37">
        <v>83164040</v>
      </c>
      <c r="F83" s="39">
        <v>10429959</v>
      </c>
      <c r="G83" s="39">
        <v>22945910</v>
      </c>
      <c r="H83" s="39">
        <v>11472955</v>
      </c>
      <c r="I83" s="39">
        <v>11472955</v>
      </c>
      <c r="J83" s="39">
        <v>11472955</v>
      </c>
      <c r="K83" s="39">
        <v>22945910</v>
      </c>
      <c r="L83" s="162">
        <v>11472955</v>
      </c>
      <c r="M83" s="51">
        <f t="shared" si="2"/>
        <v>102213599</v>
      </c>
      <c r="N83" s="52">
        <f t="shared" si="3"/>
        <v>0.66179943411374698</v>
      </c>
    </row>
    <row r="84" spans="1:14">
      <c r="A84" s="149" t="s">
        <v>74</v>
      </c>
      <c r="B84" s="17" t="s">
        <v>75</v>
      </c>
      <c r="C84" s="18">
        <v>118902000</v>
      </c>
      <c r="D84" s="18">
        <v>118902000</v>
      </c>
      <c r="E84" s="37">
        <v>74240000</v>
      </c>
      <c r="F84" s="39">
        <v>9265000</v>
      </c>
      <c r="G84" s="39">
        <v>20383000</v>
      </c>
      <c r="H84" s="39">
        <v>10191500</v>
      </c>
      <c r="I84" s="39">
        <v>10191500</v>
      </c>
      <c r="J84" s="39">
        <v>10191500</v>
      </c>
      <c r="K84" s="39">
        <v>20383000</v>
      </c>
      <c r="L84" s="162">
        <v>10191500</v>
      </c>
      <c r="M84" s="51">
        <f t="shared" si="2"/>
        <v>90797000</v>
      </c>
      <c r="N84" s="52">
        <f t="shared" si="3"/>
        <v>0.76362887083480513</v>
      </c>
    </row>
    <row r="85" spans="1:14">
      <c r="A85" s="149" t="s">
        <v>76</v>
      </c>
      <c r="B85" s="17" t="s">
        <v>77</v>
      </c>
      <c r="C85" s="18">
        <v>118902000</v>
      </c>
      <c r="D85" s="18">
        <v>118902000</v>
      </c>
      <c r="E85" s="37">
        <v>74240000</v>
      </c>
      <c r="F85" s="39">
        <v>9265000</v>
      </c>
      <c r="G85" s="39">
        <v>20383000</v>
      </c>
      <c r="H85" s="39">
        <v>10191500</v>
      </c>
      <c r="I85" s="39">
        <v>10191500</v>
      </c>
      <c r="J85" s="39">
        <v>10191500</v>
      </c>
      <c r="K85" s="39">
        <v>20383000</v>
      </c>
      <c r="L85" s="162">
        <v>10191500</v>
      </c>
      <c r="M85" s="51">
        <f t="shared" si="2"/>
        <v>90797000</v>
      </c>
      <c r="N85" s="52">
        <f t="shared" si="3"/>
        <v>0.76362887083480513</v>
      </c>
    </row>
    <row r="86" spans="1:14">
      <c r="A86" s="149" t="s">
        <v>78</v>
      </c>
      <c r="B86" s="17" t="s">
        <v>79</v>
      </c>
      <c r="C86" s="18">
        <v>130326000</v>
      </c>
      <c r="D86" s="18">
        <v>130326000</v>
      </c>
      <c r="E86" s="37">
        <v>69600000</v>
      </c>
      <c r="F86" s="39">
        <v>8504000</v>
      </c>
      <c r="G86" s="39">
        <v>18708800</v>
      </c>
      <c r="H86" s="39">
        <v>9354400</v>
      </c>
      <c r="I86" s="39">
        <v>9354400</v>
      </c>
      <c r="J86" s="39">
        <v>9354400</v>
      </c>
      <c r="K86" s="39">
        <v>18708800</v>
      </c>
      <c r="L86" s="162">
        <v>9354400</v>
      </c>
      <c r="M86" s="51">
        <f t="shared" si="2"/>
        <v>83339200</v>
      </c>
      <c r="N86" s="52">
        <f t="shared" si="3"/>
        <v>0.63946718229670207</v>
      </c>
    </row>
    <row r="87" spans="1:14">
      <c r="A87" s="149" t="s">
        <v>80</v>
      </c>
      <c r="B87" s="17" t="s">
        <v>81</v>
      </c>
      <c r="C87" s="18">
        <v>130326000</v>
      </c>
      <c r="D87" s="18">
        <v>130326000</v>
      </c>
      <c r="E87" s="37">
        <v>69600000</v>
      </c>
      <c r="F87" s="39">
        <v>8504000</v>
      </c>
      <c r="G87" s="39">
        <v>18708800</v>
      </c>
      <c r="H87" s="39">
        <v>9354400</v>
      </c>
      <c r="I87" s="39">
        <v>9354400</v>
      </c>
      <c r="J87" s="39">
        <v>9354400</v>
      </c>
      <c r="K87" s="39">
        <v>18708800</v>
      </c>
      <c r="L87" s="162">
        <v>9354400</v>
      </c>
      <c r="M87" s="51">
        <f t="shared" si="2"/>
        <v>83339200</v>
      </c>
      <c r="N87" s="52">
        <f t="shared" si="3"/>
        <v>0.63946718229670207</v>
      </c>
    </row>
    <row r="88" spans="1:14">
      <c r="A88" s="149" t="s">
        <v>82</v>
      </c>
      <c r="B88" s="17" t="s">
        <v>83</v>
      </c>
      <c r="C88" s="18">
        <v>18522000</v>
      </c>
      <c r="D88" s="18">
        <v>18522000</v>
      </c>
      <c r="E88" s="37">
        <v>9205000</v>
      </c>
      <c r="F88" s="39">
        <v>1105000</v>
      </c>
      <c r="G88" s="39">
        <v>2431000</v>
      </c>
      <c r="H88" s="39">
        <v>1215500</v>
      </c>
      <c r="I88" s="39">
        <v>1215500</v>
      </c>
      <c r="J88" s="39">
        <v>1215500</v>
      </c>
      <c r="K88" s="39">
        <v>2431000</v>
      </c>
      <c r="L88" s="162">
        <v>1484750</v>
      </c>
      <c r="M88" s="51">
        <f t="shared" si="2"/>
        <v>11098250</v>
      </c>
      <c r="N88" s="52">
        <f t="shared" si="3"/>
        <v>0.59919285174387216</v>
      </c>
    </row>
    <row r="89" spans="1:14">
      <c r="A89" s="149" t="s">
        <v>84</v>
      </c>
      <c r="B89" s="17" t="s">
        <v>85</v>
      </c>
      <c r="C89" s="18">
        <v>18522000</v>
      </c>
      <c r="D89" s="18">
        <v>18522000</v>
      </c>
      <c r="E89" s="37">
        <v>9205000</v>
      </c>
      <c r="F89" s="39">
        <v>1105000</v>
      </c>
      <c r="G89" s="39">
        <v>2431000</v>
      </c>
      <c r="H89" s="39">
        <v>1215500</v>
      </c>
      <c r="I89" s="39">
        <v>1215500</v>
      </c>
      <c r="J89" s="39">
        <v>1215500</v>
      </c>
      <c r="K89" s="39">
        <v>2431000</v>
      </c>
      <c r="L89" s="162">
        <v>1484750</v>
      </c>
      <c r="M89" s="51">
        <f t="shared" si="2"/>
        <v>11098250</v>
      </c>
      <c r="N89" s="52">
        <f t="shared" si="3"/>
        <v>0.59919285174387216</v>
      </c>
    </row>
    <row r="90" spans="1:14">
      <c r="A90" s="149" t="s">
        <v>86</v>
      </c>
      <c r="B90" s="17" t="s">
        <v>87</v>
      </c>
      <c r="C90" s="18">
        <v>79002000</v>
      </c>
      <c r="D90" s="18">
        <v>79002000</v>
      </c>
      <c r="E90" s="37">
        <v>43886520</v>
      </c>
      <c r="F90" s="39">
        <v>5359080</v>
      </c>
      <c r="G90" s="39">
        <v>11789976</v>
      </c>
      <c r="H90" s="39">
        <v>5894988</v>
      </c>
      <c r="I90" s="39">
        <v>5894988</v>
      </c>
      <c r="J90" s="39">
        <v>5894988</v>
      </c>
      <c r="K90" s="39">
        <v>11789976</v>
      </c>
      <c r="L90" s="162">
        <v>5894988</v>
      </c>
      <c r="M90" s="51">
        <f t="shared" si="2"/>
        <v>52518984</v>
      </c>
      <c r="N90" s="52">
        <f t="shared" si="3"/>
        <v>0.66478043593833069</v>
      </c>
    </row>
    <row r="91" spans="1:14">
      <c r="A91" s="149" t="s">
        <v>88</v>
      </c>
      <c r="B91" s="17" t="s">
        <v>89</v>
      </c>
      <c r="C91" s="18">
        <v>79002000</v>
      </c>
      <c r="D91" s="18">
        <v>79002000</v>
      </c>
      <c r="E91" s="37">
        <v>43886520</v>
      </c>
      <c r="F91" s="39">
        <v>5359080</v>
      </c>
      <c r="G91" s="39">
        <v>11789976</v>
      </c>
      <c r="H91" s="39">
        <v>5894988</v>
      </c>
      <c r="I91" s="39">
        <v>5894988</v>
      </c>
      <c r="J91" s="39">
        <v>5894988</v>
      </c>
      <c r="K91" s="39">
        <v>11789976</v>
      </c>
      <c r="L91" s="162">
        <v>5894988</v>
      </c>
      <c r="M91" s="51">
        <f t="shared" si="2"/>
        <v>52518984</v>
      </c>
      <c r="N91" s="52">
        <f t="shared" si="3"/>
        <v>0.66478043593833069</v>
      </c>
    </row>
    <row r="92" spans="1:14">
      <c r="A92" s="149" t="s">
        <v>90</v>
      </c>
      <c r="B92" s="17" t="s">
        <v>91</v>
      </c>
      <c r="C92" s="18">
        <v>21252000</v>
      </c>
      <c r="D92" s="18">
        <v>21252000</v>
      </c>
      <c r="E92" s="37">
        <v>10042763</v>
      </c>
      <c r="F92" s="39">
        <v>483674</v>
      </c>
      <c r="G92" s="39">
        <v>483674</v>
      </c>
      <c r="H92" s="39">
        <v>8604964</v>
      </c>
      <c r="I92" s="39">
        <v>483674</v>
      </c>
      <c r="J92" s="41">
        <v>483674</v>
      </c>
      <c r="K92" s="41">
        <v>8604964</v>
      </c>
      <c r="L92" s="162">
        <v>483674</v>
      </c>
      <c r="M92" s="51">
        <f t="shared" si="2"/>
        <v>19628298</v>
      </c>
      <c r="N92" s="52">
        <f t="shared" si="3"/>
        <v>0.92359768492377192</v>
      </c>
    </row>
    <row r="93" spans="1:14">
      <c r="A93" s="149" t="s">
        <v>92</v>
      </c>
      <c r="B93" s="17" t="s">
        <v>93</v>
      </c>
      <c r="C93" s="18">
        <v>21252000</v>
      </c>
      <c r="D93" s="18">
        <v>21252000</v>
      </c>
      <c r="E93" s="37">
        <v>10042763</v>
      </c>
      <c r="F93" s="39">
        <v>483674</v>
      </c>
      <c r="G93" s="39">
        <v>483674</v>
      </c>
      <c r="H93" s="39">
        <v>8604964</v>
      </c>
      <c r="I93" s="39">
        <v>483674</v>
      </c>
      <c r="J93" s="41">
        <v>483674</v>
      </c>
      <c r="K93" s="41">
        <v>8604964</v>
      </c>
      <c r="L93" s="162">
        <v>483674</v>
      </c>
      <c r="M93" s="51">
        <f t="shared" si="2"/>
        <v>19628298</v>
      </c>
      <c r="N93" s="52">
        <f t="shared" si="3"/>
        <v>0.92359768492377192</v>
      </c>
    </row>
    <row r="94" spans="1:14">
      <c r="A94" s="149" t="s">
        <v>94</v>
      </c>
      <c r="B94" s="17" t="s">
        <v>95</v>
      </c>
      <c r="C94" s="18">
        <v>42000</v>
      </c>
      <c r="D94" s="18">
        <v>42000</v>
      </c>
      <c r="E94" s="37">
        <v>10115</v>
      </c>
      <c r="F94" s="39">
        <v>5250</v>
      </c>
      <c r="G94" s="41">
        <v>10500</v>
      </c>
      <c r="H94" s="41">
        <v>5250</v>
      </c>
      <c r="I94" s="41">
        <v>5250</v>
      </c>
      <c r="J94" s="41">
        <v>5250</v>
      </c>
      <c r="K94" s="41">
        <v>10500</v>
      </c>
      <c r="L94" s="157">
        <v>0</v>
      </c>
      <c r="M94" s="51">
        <f t="shared" si="2"/>
        <v>42000</v>
      </c>
      <c r="N94" s="52">
        <f t="shared" si="3"/>
        <v>1</v>
      </c>
    </row>
    <row r="95" spans="1:14">
      <c r="A95" s="149" t="s">
        <v>96</v>
      </c>
      <c r="B95" s="17" t="s">
        <v>97</v>
      </c>
      <c r="C95" s="18">
        <v>42000</v>
      </c>
      <c r="D95" s="18">
        <v>42000</v>
      </c>
      <c r="E95" s="37">
        <v>10115</v>
      </c>
      <c r="F95" s="39">
        <v>5250</v>
      </c>
      <c r="G95" s="41">
        <v>10500</v>
      </c>
      <c r="H95" s="41">
        <v>5250</v>
      </c>
      <c r="I95" s="41">
        <v>5250</v>
      </c>
      <c r="J95" s="41">
        <v>5250</v>
      </c>
      <c r="K95" s="41">
        <v>10500</v>
      </c>
      <c r="L95" s="157">
        <v>0</v>
      </c>
      <c r="M95" s="51">
        <f t="shared" si="2"/>
        <v>42000</v>
      </c>
      <c r="N95" s="52">
        <f t="shared" si="3"/>
        <v>1</v>
      </c>
    </row>
    <row r="96" spans="1:14">
      <c r="A96" s="151" t="s">
        <v>98</v>
      </c>
      <c r="B96" s="23" t="s">
        <v>99</v>
      </c>
      <c r="C96" s="25">
        <v>815504300</v>
      </c>
      <c r="D96" s="25">
        <v>815504300</v>
      </c>
      <c r="E96" s="42">
        <v>295746705</v>
      </c>
      <c r="F96" s="25">
        <v>53450000</v>
      </c>
      <c r="G96" s="25">
        <v>117590000</v>
      </c>
      <c r="H96" s="25">
        <v>58795000</v>
      </c>
      <c r="I96" s="25">
        <v>58795000</v>
      </c>
      <c r="J96" s="25">
        <v>58795000</v>
      </c>
      <c r="K96" s="25">
        <v>117590000</v>
      </c>
      <c r="L96" s="160">
        <v>58795000</v>
      </c>
      <c r="M96" s="51">
        <f t="shared" si="2"/>
        <v>523810000</v>
      </c>
      <c r="N96" s="52">
        <f t="shared" si="3"/>
        <v>0.64231420974726927</v>
      </c>
    </row>
    <row r="97" spans="1:14">
      <c r="A97" s="149" t="s">
        <v>100</v>
      </c>
      <c r="B97" s="17" t="s">
        <v>101</v>
      </c>
      <c r="C97" s="18">
        <v>815504300</v>
      </c>
      <c r="D97" s="18">
        <v>815504300</v>
      </c>
      <c r="E97" s="37">
        <v>295746705</v>
      </c>
      <c r="F97" s="39">
        <v>53450000</v>
      </c>
      <c r="G97" s="39">
        <v>117590000</v>
      </c>
      <c r="H97" s="39">
        <v>58795000</v>
      </c>
      <c r="I97" s="39">
        <v>58795000</v>
      </c>
      <c r="J97" s="41">
        <v>58795000</v>
      </c>
      <c r="K97" s="41">
        <v>117590000</v>
      </c>
      <c r="L97" s="162">
        <v>58795000</v>
      </c>
      <c r="M97" s="51">
        <f t="shared" si="2"/>
        <v>523810000</v>
      </c>
      <c r="N97" s="52">
        <f t="shared" si="3"/>
        <v>0.64231420974726927</v>
      </c>
    </row>
    <row r="98" spans="1:14">
      <c r="A98" s="149" t="s">
        <v>102</v>
      </c>
      <c r="B98" s="17" t="s">
        <v>103</v>
      </c>
      <c r="C98" s="18">
        <v>815504300</v>
      </c>
      <c r="D98" s="18">
        <v>815504300</v>
      </c>
      <c r="E98" s="37">
        <v>295746705</v>
      </c>
      <c r="F98" s="39">
        <v>53450000</v>
      </c>
      <c r="G98" s="39">
        <v>117590000</v>
      </c>
      <c r="H98" s="39">
        <v>58795000</v>
      </c>
      <c r="I98" s="39">
        <v>58795000</v>
      </c>
      <c r="J98" s="41">
        <v>58795000</v>
      </c>
      <c r="K98" s="41">
        <v>117590000</v>
      </c>
      <c r="L98" s="162">
        <v>58795000</v>
      </c>
      <c r="M98" s="51">
        <f t="shared" si="2"/>
        <v>523810000</v>
      </c>
      <c r="N98" s="52">
        <f t="shared" si="3"/>
        <v>0.64231420974726927</v>
      </c>
    </row>
    <row r="99" spans="1:14">
      <c r="A99" s="149" t="s">
        <v>104</v>
      </c>
      <c r="B99" s="17" t="s">
        <v>105</v>
      </c>
      <c r="C99" s="18">
        <v>172576400</v>
      </c>
      <c r="D99" s="18">
        <v>172576400</v>
      </c>
      <c r="E99" s="37">
        <v>49402383</v>
      </c>
      <c r="F99" s="18">
        <v>15105200</v>
      </c>
      <c r="G99" s="18">
        <v>18385174</v>
      </c>
      <c r="H99" s="18">
        <v>12845000</v>
      </c>
      <c r="I99" s="18">
        <v>15758200</v>
      </c>
      <c r="J99" s="18">
        <v>14907100</v>
      </c>
      <c r="K99" s="18">
        <v>12845000</v>
      </c>
      <c r="L99" s="157">
        <v>16327300</v>
      </c>
      <c r="M99" s="51">
        <f t="shared" si="2"/>
        <v>106172974</v>
      </c>
      <c r="N99" s="52">
        <f t="shared" si="3"/>
        <v>0.61522302006531604</v>
      </c>
    </row>
    <row r="100" spans="1:14">
      <c r="A100" s="150" t="s">
        <v>24</v>
      </c>
      <c r="B100" s="19" t="s">
        <v>25</v>
      </c>
      <c r="C100" s="21">
        <v>172576400</v>
      </c>
      <c r="D100" s="21">
        <v>172576400</v>
      </c>
      <c r="E100" s="46">
        <v>49402383</v>
      </c>
      <c r="F100" s="21">
        <v>15105200</v>
      </c>
      <c r="G100" s="21">
        <v>18385174</v>
      </c>
      <c r="H100" s="21">
        <v>12845000</v>
      </c>
      <c r="I100" s="21">
        <v>15758200</v>
      </c>
      <c r="J100" s="21">
        <v>14907100</v>
      </c>
      <c r="K100" s="21">
        <v>12845000</v>
      </c>
      <c r="L100" s="163">
        <v>16327300</v>
      </c>
      <c r="M100" s="51">
        <f t="shared" si="2"/>
        <v>106172974</v>
      </c>
      <c r="N100" s="52">
        <f t="shared" si="3"/>
        <v>0.61522302006531604</v>
      </c>
    </row>
    <row r="101" spans="1:14">
      <c r="A101" s="151" t="s">
        <v>26</v>
      </c>
      <c r="B101" s="23" t="s">
        <v>27</v>
      </c>
      <c r="C101" s="25">
        <v>13952400</v>
      </c>
      <c r="D101" s="25">
        <v>13952400</v>
      </c>
      <c r="E101" s="42">
        <v>4002383</v>
      </c>
      <c r="F101" s="25">
        <v>2710200</v>
      </c>
      <c r="G101" s="25">
        <v>4190174</v>
      </c>
      <c r="H101" s="25">
        <v>0</v>
      </c>
      <c r="I101" s="25">
        <v>1113200</v>
      </c>
      <c r="J101" s="25">
        <v>2062100</v>
      </c>
      <c r="K101" s="25">
        <v>0</v>
      </c>
      <c r="L101" s="160">
        <v>1682300</v>
      </c>
      <c r="M101" s="51">
        <f t="shared" si="2"/>
        <v>11757974</v>
      </c>
      <c r="N101" s="52">
        <f t="shared" si="3"/>
        <v>0.84272053553510506</v>
      </c>
    </row>
    <row r="102" spans="1:14">
      <c r="A102" s="149" t="s">
        <v>28</v>
      </c>
      <c r="B102" s="17" t="s">
        <v>29</v>
      </c>
      <c r="C102" s="18">
        <v>13952400</v>
      </c>
      <c r="D102" s="18">
        <v>13952400</v>
      </c>
      <c r="E102" s="37">
        <v>4002383</v>
      </c>
      <c r="F102" s="18">
        <v>2710200</v>
      </c>
      <c r="G102" s="18">
        <v>4190174</v>
      </c>
      <c r="H102" s="18">
        <v>0</v>
      </c>
      <c r="I102" s="18">
        <v>1113200</v>
      </c>
      <c r="J102" s="18">
        <v>2062100</v>
      </c>
      <c r="K102" s="18">
        <v>0</v>
      </c>
      <c r="L102" s="157">
        <v>1682300</v>
      </c>
      <c r="M102" s="51">
        <f t="shared" si="2"/>
        <v>11757974</v>
      </c>
      <c r="N102" s="52">
        <f t="shared" si="3"/>
        <v>0.84272053553510506</v>
      </c>
    </row>
    <row r="103" spans="1:14">
      <c r="A103" s="149" t="s">
        <v>30</v>
      </c>
      <c r="B103" s="17" t="s">
        <v>31</v>
      </c>
      <c r="C103" s="18">
        <v>9398400</v>
      </c>
      <c r="D103" s="18">
        <v>9398400</v>
      </c>
      <c r="E103" s="37">
        <v>3588353</v>
      </c>
      <c r="F103" s="39">
        <v>1597000</v>
      </c>
      <c r="G103" s="40">
        <v>2975774</v>
      </c>
      <c r="H103" s="18">
        <v>0</v>
      </c>
      <c r="I103" s="18">
        <v>0</v>
      </c>
      <c r="J103" s="41">
        <v>2062100</v>
      </c>
      <c r="K103" s="18">
        <v>0</v>
      </c>
      <c r="L103" s="162">
        <v>569100</v>
      </c>
      <c r="M103" s="51">
        <f t="shared" si="2"/>
        <v>7203974</v>
      </c>
      <c r="N103" s="52">
        <f t="shared" si="3"/>
        <v>0.76651068266939049</v>
      </c>
    </row>
    <row r="104" spans="1:14">
      <c r="A104" s="149" t="s">
        <v>34</v>
      </c>
      <c r="B104" s="17" t="s">
        <v>35</v>
      </c>
      <c r="C104" s="18">
        <v>4554000</v>
      </c>
      <c r="D104" s="18">
        <v>4554000</v>
      </c>
      <c r="E104" s="37">
        <v>414030</v>
      </c>
      <c r="F104" s="40">
        <v>1113200</v>
      </c>
      <c r="G104" s="41">
        <v>1214400</v>
      </c>
      <c r="H104" s="18">
        <v>0</v>
      </c>
      <c r="I104" s="41">
        <v>1113200</v>
      </c>
      <c r="J104" s="18">
        <v>0</v>
      </c>
      <c r="K104" s="18">
        <v>0</v>
      </c>
      <c r="L104" s="162">
        <v>1113200</v>
      </c>
      <c r="M104" s="51">
        <f t="shared" si="2"/>
        <v>4554000</v>
      </c>
      <c r="N104" s="52">
        <f t="shared" si="3"/>
        <v>1</v>
      </c>
    </row>
    <row r="105" spans="1:14">
      <c r="A105" s="151" t="s">
        <v>36</v>
      </c>
      <c r="B105" s="23" t="s">
        <v>37</v>
      </c>
      <c r="C105" s="25">
        <v>158624000</v>
      </c>
      <c r="D105" s="25">
        <v>158624000</v>
      </c>
      <c r="E105" s="42">
        <v>45400000</v>
      </c>
      <c r="F105" s="25">
        <v>12395000</v>
      </c>
      <c r="G105" s="25">
        <v>14195000</v>
      </c>
      <c r="H105" s="25">
        <v>12845000</v>
      </c>
      <c r="I105" s="25">
        <v>14645000</v>
      </c>
      <c r="J105" s="25">
        <v>12845000</v>
      </c>
      <c r="K105" s="25">
        <v>12845000</v>
      </c>
      <c r="L105" s="160">
        <v>14645000</v>
      </c>
      <c r="M105" s="51">
        <f t="shared" si="2"/>
        <v>94415000</v>
      </c>
      <c r="N105" s="52">
        <f t="shared" si="3"/>
        <v>0.59521257817228157</v>
      </c>
    </row>
    <row r="106" spans="1:14">
      <c r="A106" s="149" t="s">
        <v>38</v>
      </c>
      <c r="B106" s="17" t="s">
        <v>39</v>
      </c>
      <c r="C106" s="18">
        <v>158624000</v>
      </c>
      <c r="D106" s="18">
        <v>158624000</v>
      </c>
      <c r="E106" s="37">
        <v>45400000</v>
      </c>
      <c r="F106" s="18">
        <v>12395000</v>
      </c>
      <c r="G106" s="18">
        <v>14195000</v>
      </c>
      <c r="H106" s="18">
        <v>12845000</v>
      </c>
      <c r="I106" s="18">
        <v>14645000</v>
      </c>
      <c r="J106" s="18">
        <v>12845000</v>
      </c>
      <c r="K106" s="18">
        <v>12845000</v>
      </c>
      <c r="L106" s="157">
        <v>14645000</v>
      </c>
      <c r="M106" s="51">
        <f t="shared" si="2"/>
        <v>94415000</v>
      </c>
      <c r="N106" s="52">
        <f t="shared" si="3"/>
        <v>0.59521257817228157</v>
      </c>
    </row>
    <row r="107" spans="1:14" ht="25.75">
      <c r="A107" s="149" t="s">
        <v>106</v>
      </c>
      <c r="B107" s="17" t="s">
        <v>107</v>
      </c>
      <c r="C107" s="18">
        <v>9000000</v>
      </c>
      <c r="D107" s="18">
        <v>9000000</v>
      </c>
      <c r="E107" s="37">
        <v>3750000</v>
      </c>
      <c r="F107" s="39">
        <v>750000</v>
      </c>
      <c r="G107" s="39">
        <v>750000</v>
      </c>
      <c r="H107" s="39">
        <v>750000</v>
      </c>
      <c r="I107" s="39">
        <v>750000</v>
      </c>
      <c r="J107" s="39">
        <v>750000</v>
      </c>
      <c r="K107" s="18">
        <v>750000</v>
      </c>
      <c r="L107" s="157">
        <v>750000</v>
      </c>
      <c r="M107" s="51">
        <f t="shared" si="2"/>
        <v>5250000</v>
      </c>
      <c r="N107" s="52">
        <f t="shared" si="3"/>
        <v>0.58333333333333337</v>
      </c>
    </row>
    <row r="108" spans="1:14">
      <c r="A108" s="149" t="s">
        <v>108</v>
      </c>
      <c r="B108" s="17" t="s">
        <v>109</v>
      </c>
      <c r="C108" s="18">
        <v>1200000</v>
      </c>
      <c r="D108" s="18">
        <v>1200000</v>
      </c>
      <c r="E108" s="37" t="s">
        <v>318</v>
      </c>
      <c r="F108" s="18">
        <v>0</v>
      </c>
      <c r="G108" s="18">
        <v>0</v>
      </c>
      <c r="H108" s="41">
        <v>200000</v>
      </c>
      <c r="I108" s="41">
        <v>200000</v>
      </c>
      <c r="J108" s="41">
        <v>200000</v>
      </c>
      <c r="K108" s="18">
        <v>200000</v>
      </c>
      <c r="L108" s="157">
        <v>200000</v>
      </c>
      <c r="M108" s="51">
        <f t="shared" si="2"/>
        <v>1000000</v>
      </c>
      <c r="N108" s="52">
        <f t="shared" si="3"/>
        <v>0.83333333333333337</v>
      </c>
    </row>
    <row r="109" spans="1:14">
      <c r="A109" s="149" t="s">
        <v>110</v>
      </c>
      <c r="B109" s="17" t="s">
        <v>111</v>
      </c>
      <c r="C109" s="18">
        <v>37500000</v>
      </c>
      <c r="D109" s="18">
        <v>37500000</v>
      </c>
      <c r="E109" s="37" t="s">
        <v>318</v>
      </c>
      <c r="F109" s="41">
        <v>3000000</v>
      </c>
      <c r="G109" s="41">
        <v>3000000</v>
      </c>
      <c r="H109" s="41">
        <v>3250000</v>
      </c>
      <c r="I109" s="41">
        <v>3250000</v>
      </c>
      <c r="J109" s="41">
        <v>3250000</v>
      </c>
      <c r="K109" s="18">
        <v>3250000</v>
      </c>
      <c r="L109" s="157">
        <v>3250000</v>
      </c>
      <c r="M109" s="51">
        <f t="shared" si="2"/>
        <v>22250000</v>
      </c>
      <c r="N109" s="52">
        <f t="shared" si="3"/>
        <v>0.59333333333333338</v>
      </c>
    </row>
    <row r="110" spans="1:14">
      <c r="A110" s="149" t="s">
        <v>40</v>
      </c>
      <c r="B110" s="17" t="s">
        <v>41</v>
      </c>
      <c r="C110" s="18">
        <v>7184000</v>
      </c>
      <c r="D110" s="18">
        <v>7184000</v>
      </c>
      <c r="E110" s="37" t="s">
        <v>318</v>
      </c>
      <c r="F110" s="18">
        <v>0</v>
      </c>
      <c r="G110" s="18">
        <v>1800000</v>
      </c>
      <c r="H110" s="18">
        <v>0</v>
      </c>
      <c r="I110" s="18">
        <v>1800000</v>
      </c>
      <c r="J110" s="18">
        <v>0</v>
      </c>
      <c r="K110" s="18">
        <v>0</v>
      </c>
      <c r="L110" s="157">
        <v>1800000</v>
      </c>
      <c r="M110" s="51">
        <f t="shared" si="2"/>
        <v>5400000</v>
      </c>
      <c r="N110" s="52">
        <f t="shared" si="3"/>
        <v>0.75167037861915365</v>
      </c>
    </row>
    <row r="111" spans="1:14">
      <c r="A111" s="149" t="s">
        <v>112</v>
      </c>
      <c r="B111" s="17" t="s">
        <v>113</v>
      </c>
      <c r="C111" s="18">
        <v>103740000</v>
      </c>
      <c r="D111" s="18">
        <v>103740000</v>
      </c>
      <c r="E111" s="37">
        <v>41650000</v>
      </c>
      <c r="F111" s="39">
        <v>8645000</v>
      </c>
      <c r="G111" s="39">
        <v>8645000</v>
      </c>
      <c r="H111" s="39">
        <v>8645000</v>
      </c>
      <c r="I111" s="39">
        <v>8645000</v>
      </c>
      <c r="J111" s="39">
        <v>8645000</v>
      </c>
      <c r="K111" s="18">
        <v>8645000</v>
      </c>
      <c r="L111" s="157">
        <v>8645000</v>
      </c>
      <c r="M111" s="51">
        <f t="shared" si="2"/>
        <v>60515000</v>
      </c>
      <c r="N111" s="52">
        <f t="shared" si="3"/>
        <v>0.58333333333333337</v>
      </c>
    </row>
    <row r="112" spans="1:14" ht="25.75">
      <c r="A112" s="149" t="s">
        <v>114</v>
      </c>
      <c r="B112" s="17" t="s">
        <v>115</v>
      </c>
      <c r="C112" s="18">
        <v>2238500</v>
      </c>
      <c r="D112" s="18">
        <v>2238500</v>
      </c>
      <c r="E112" s="37">
        <v>2203257</v>
      </c>
      <c r="F112" s="18">
        <v>0</v>
      </c>
      <c r="G112" s="18">
        <v>2238500</v>
      </c>
      <c r="H112" s="18">
        <v>0</v>
      </c>
      <c r="I112" s="18">
        <v>0</v>
      </c>
      <c r="J112" s="18">
        <v>0</v>
      </c>
      <c r="K112" s="18">
        <v>0</v>
      </c>
      <c r="L112" s="157">
        <v>0</v>
      </c>
      <c r="M112" s="51">
        <f t="shared" si="2"/>
        <v>2238500</v>
      </c>
      <c r="N112" s="52">
        <f t="shared" si="3"/>
        <v>1</v>
      </c>
    </row>
    <row r="113" spans="1:14">
      <c r="A113" s="150" t="s">
        <v>24</v>
      </c>
      <c r="B113" s="19" t="s">
        <v>25</v>
      </c>
      <c r="C113" s="21">
        <v>2238500</v>
      </c>
      <c r="D113" s="21">
        <v>2238500</v>
      </c>
      <c r="E113" s="46">
        <v>2203257</v>
      </c>
      <c r="F113" s="21">
        <v>0</v>
      </c>
      <c r="G113" s="21">
        <v>2238500</v>
      </c>
      <c r="H113" s="21">
        <v>0</v>
      </c>
      <c r="I113" s="21">
        <v>0</v>
      </c>
      <c r="J113" s="21">
        <v>0</v>
      </c>
      <c r="K113" s="21">
        <v>0</v>
      </c>
      <c r="L113" s="163">
        <v>0</v>
      </c>
      <c r="M113" s="51">
        <f t="shared" si="2"/>
        <v>2238500</v>
      </c>
      <c r="N113" s="52">
        <f t="shared" si="3"/>
        <v>1</v>
      </c>
    </row>
    <row r="114" spans="1:14">
      <c r="A114" s="151" t="s">
        <v>26</v>
      </c>
      <c r="B114" s="23" t="s">
        <v>27</v>
      </c>
      <c r="C114" s="25">
        <v>1438500</v>
      </c>
      <c r="D114" s="25">
        <v>1438500</v>
      </c>
      <c r="E114" s="42">
        <v>1408257</v>
      </c>
      <c r="F114" s="25">
        <v>0</v>
      </c>
      <c r="G114" s="25">
        <v>1438500</v>
      </c>
      <c r="H114" s="25">
        <v>0</v>
      </c>
      <c r="I114" s="25">
        <v>0</v>
      </c>
      <c r="J114" s="25">
        <v>0</v>
      </c>
      <c r="K114" s="25">
        <v>0</v>
      </c>
      <c r="L114" s="160">
        <v>0</v>
      </c>
      <c r="M114" s="51">
        <f t="shared" si="2"/>
        <v>1438500</v>
      </c>
      <c r="N114" s="52">
        <f t="shared" si="3"/>
        <v>1</v>
      </c>
    </row>
    <row r="115" spans="1:14">
      <c r="A115" s="149" t="s">
        <v>28</v>
      </c>
      <c r="B115" s="17" t="s">
        <v>29</v>
      </c>
      <c r="C115" s="18">
        <v>1438500</v>
      </c>
      <c r="D115" s="18">
        <v>1438500</v>
      </c>
      <c r="E115" s="37">
        <v>1408257</v>
      </c>
      <c r="F115" s="18">
        <v>0</v>
      </c>
      <c r="G115" s="18">
        <v>1438500</v>
      </c>
      <c r="H115" s="18">
        <v>0</v>
      </c>
      <c r="I115" s="18">
        <v>0</v>
      </c>
      <c r="J115" s="18">
        <v>0</v>
      </c>
      <c r="K115" s="18">
        <v>0</v>
      </c>
      <c r="L115" s="157">
        <v>0</v>
      </c>
      <c r="M115" s="51">
        <f t="shared" si="2"/>
        <v>1438500</v>
      </c>
      <c r="N115" s="52">
        <f t="shared" si="3"/>
        <v>1</v>
      </c>
    </row>
    <row r="116" spans="1:14">
      <c r="A116" s="149" t="s">
        <v>30</v>
      </c>
      <c r="B116" s="17" t="s">
        <v>31</v>
      </c>
      <c r="C116" s="18">
        <v>660400</v>
      </c>
      <c r="D116" s="18">
        <v>660400</v>
      </c>
      <c r="E116" s="37">
        <v>639249</v>
      </c>
      <c r="F116" s="18">
        <v>0</v>
      </c>
      <c r="G116" s="39">
        <v>660400</v>
      </c>
      <c r="H116" s="18">
        <v>0</v>
      </c>
      <c r="I116" s="18">
        <v>0</v>
      </c>
      <c r="J116" s="18">
        <v>0</v>
      </c>
      <c r="K116" s="18">
        <v>0</v>
      </c>
      <c r="L116" s="157">
        <v>0</v>
      </c>
      <c r="M116" s="51">
        <f t="shared" si="2"/>
        <v>660400</v>
      </c>
      <c r="N116" s="52">
        <f t="shared" si="3"/>
        <v>1</v>
      </c>
    </row>
    <row r="117" spans="1:14">
      <c r="A117" s="149" t="s">
        <v>32</v>
      </c>
      <c r="B117" s="17" t="s">
        <v>33</v>
      </c>
      <c r="C117" s="18">
        <v>162000</v>
      </c>
      <c r="D117" s="18">
        <v>162000</v>
      </c>
      <c r="E117" s="37">
        <v>160950</v>
      </c>
      <c r="F117" s="18">
        <v>0</v>
      </c>
      <c r="G117" s="39">
        <v>162000</v>
      </c>
      <c r="H117" s="18">
        <v>0</v>
      </c>
      <c r="I117" s="18">
        <v>0</v>
      </c>
      <c r="J117" s="18">
        <v>0</v>
      </c>
      <c r="K117" s="18">
        <v>0</v>
      </c>
      <c r="L117" s="157">
        <v>0</v>
      </c>
      <c r="M117" s="51">
        <f t="shared" si="2"/>
        <v>162000</v>
      </c>
      <c r="N117" s="52">
        <f t="shared" si="3"/>
        <v>1</v>
      </c>
    </row>
    <row r="118" spans="1:14">
      <c r="A118" s="149" t="s">
        <v>34</v>
      </c>
      <c r="B118" s="17" t="s">
        <v>35</v>
      </c>
      <c r="C118" s="18">
        <v>616100</v>
      </c>
      <c r="D118" s="18">
        <v>616100</v>
      </c>
      <c r="E118" s="37">
        <v>608058</v>
      </c>
      <c r="F118" s="18">
        <v>0</v>
      </c>
      <c r="G118" s="39">
        <v>616100</v>
      </c>
      <c r="H118" s="18">
        <v>0</v>
      </c>
      <c r="I118" s="18">
        <v>0</v>
      </c>
      <c r="J118" s="18">
        <v>0</v>
      </c>
      <c r="K118" s="18">
        <v>0</v>
      </c>
      <c r="L118" s="157">
        <v>0</v>
      </c>
      <c r="M118" s="51">
        <f t="shared" si="2"/>
        <v>616100</v>
      </c>
      <c r="N118" s="52">
        <f t="shared" si="3"/>
        <v>1</v>
      </c>
    </row>
    <row r="119" spans="1:14">
      <c r="A119" s="151" t="s">
        <v>36</v>
      </c>
      <c r="B119" s="23" t="s">
        <v>37</v>
      </c>
      <c r="C119" s="25">
        <v>800000</v>
      </c>
      <c r="D119" s="25">
        <v>800000</v>
      </c>
      <c r="E119" s="42">
        <v>795000</v>
      </c>
      <c r="F119" s="25">
        <v>0</v>
      </c>
      <c r="G119" s="43">
        <v>800000</v>
      </c>
      <c r="H119" s="25">
        <v>0</v>
      </c>
      <c r="I119" s="25">
        <v>0</v>
      </c>
      <c r="J119" s="25">
        <v>0</v>
      </c>
      <c r="K119" s="25">
        <v>0</v>
      </c>
      <c r="L119" s="160">
        <v>0</v>
      </c>
      <c r="M119" s="51">
        <f t="shared" si="2"/>
        <v>800000</v>
      </c>
      <c r="N119" s="52">
        <f t="shared" si="3"/>
        <v>1</v>
      </c>
    </row>
    <row r="120" spans="1:14">
      <c r="A120" s="149" t="s">
        <v>38</v>
      </c>
      <c r="B120" s="17" t="s">
        <v>39</v>
      </c>
      <c r="C120" s="18">
        <v>800000</v>
      </c>
      <c r="D120" s="18">
        <v>800000</v>
      </c>
      <c r="E120" s="37">
        <v>795000</v>
      </c>
      <c r="F120" s="18">
        <v>0</v>
      </c>
      <c r="G120" s="39">
        <v>800000</v>
      </c>
      <c r="H120" s="18">
        <v>0</v>
      </c>
      <c r="I120" s="18">
        <v>0</v>
      </c>
      <c r="J120" s="18">
        <v>0</v>
      </c>
      <c r="K120" s="18">
        <v>0</v>
      </c>
      <c r="L120" s="157">
        <v>0</v>
      </c>
      <c r="M120" s="51">
        <f t="shared" si="2"/>
        <v>800000</v>
      </c>
      <c r="N120" s="52">
        <f t="shared" si="3"/>
        <v>1</v>
      </c>
    </row>
    <row r="121" spans="1:14">
      <c r="A121" s="149" t="s">
        <v>40</v>
      </c>
      <c r="B121" s="17" t="s">
        <v>41</v>
      </c>
      <c r="C121" s="18">
        <v>800000</v>
      </c>
      <c r="D121" s="18">
        <v>800000</v>
      </c>
      <c r="E121" s="37">
        <v>795000</v>
      </c>
      <c r="F121" s="18">
        <v>0</v>
      </c>
      <c r="G121" s="39">
        <v>800000</v>
      </c>
      <c r="H121" s="18">
        <v>0</v>
      </c>
      <c r="I121" s="18">
        <v>0</v>
      </c>
      <c r="J121" s="18">
        <v>0</v>
      </c>
      <c r="K121" s="18">
        <v>0</v>
      </c>
      <c r="L121" s="157">
        <v>0</v>
      </c>
      <c r="M121" s="51">
        <f t="shared" si="2"/>
        <v>800000</v>
      </c>
      <c r="N121" s="52">
        <f t="shared" si="3"/>
        <v>1</v>
      </c>
    </row>
    <row r="122" spans="1:14" ht="25.75">
      <c r="A122" s="149" t="s">
        <v>116</v>
      </c>
      <c r="B122" s="17" t="s">
        <v>117</v>
      </c>
      <c r="C122" s="18">
        <v>1462600</v>
      </c>
      <c r="D122" s="18">
        <v>1462600</v>
      </c>
      <c r="E122" s="37">
        <v>1380543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57">
        <v>1462600</v>
      </c>
      <c r="M122" s="51">
        <f t="shared" si="2"/>
        <v>1462600</v>
      </c>
      <c r="N122" s="52">
        <f t="shared" si="3"/>
        <v>1</v>
      </c>
    </row>
    <row r="123" spans="1:14">
      <c r="A123" s="150" t="s">
        <v>24</v>
      </c>
      <c r="B123" s="19" t="s">
        <v>25</v>
      </c>
      <c r="C123" s="21">
        <v>1462600</v>
      </c>
      <c r="D123" s="21">
        <v>1462600</v>
      </c>
      <c r="E123" s="46">
        <v>1380543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163">
        <v>1462600</v>
      </c>
      <c r="M123" s="51">
        <f t="shared" ref="M123:M179" si="4">SUM(F123:L123)</f>
        <v>1462600</v>
      </c>
      <c r="N123" s="52">
        <f t="shared" ref="N123:N179" si="5">M123/D123*100%</f>
        <v>1</v>
      </c>
    </row>
    <row r="124" spans="1:14">
      <c r="A124" s="151" t="s">
        <v>26</v>
      </c>
      <c r="B124" s="23" t="s">
        <v>27</v>
      </c>
      <c r="C124" s="25">
        <v>941600</v>
      </c>
      <c r="D124" s="25">
        <v>941600</v>
      </c>
      <c r="E124" s="42">
        <v>900543</v>
      </c>
      <c r="F124" s="25">
        <v>0</v>
      </c>
      <c r="G124" s="25">
        <v>0</v>
      </c>
      <c r="H124" s="25">
        <v>0</v>
      </c>
      <c r="I124" s="25">
        <v>0</v>
      </c>
      <c r="J124" s="25">
        <v>0</v>
      </c>
      <c r="K124" s="25">
        <v>0</v>
      </c>
      <c r="L124" s="160">
        <v>941600</v>
      </c>
      <c r="M124" s="51">
        <f t="shared" si="4"/>
        <v>941600</v>
      </c>
      <c r="N124" s="52">
        <f t="shared" si="5"/>
        <v>1</v>
      </c>
    </row>
    <row r="125" spans="1:14">
      <c r="A125" s="149" t="s">
        <v>28</v>
      </c>
      <c r="B125" s="17" t="s">
        <v>29</v>
      </c>
      <c r="C125" s="18">
        <v>941600</v>
      </c>
      <c r="D125" s="18">
        <v>941600</v>
      </c>
      <c r="E125" s="37">
        <v>900543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57">
        <v>941600</v>
      </c>
      <c r="M125" s="51">
        <f t="shared" si="4"/>
        <v>941600</v>
      </c>
      <c r="N125" s="52">
        <f t="shared" si="5"/>
        <v>1</v>
      </c>
    </row>
    <row r="126" spans="1:14">
      <c r="A126" s="149" t="s">
        <v>30</v>
      </c>
      <c r="B126" s="17" t="s">
        <v>31</v>
      </c>
      <c r="C126" s="18">
        <v>779600</v>
      </c>
      <c r="D126" s="18">
        <v>779600</v>
      </c>
      <c r="E126" s="37">
        <v>745143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64">
        <v>779600</v>
      </c>
      <c r="M126" s="51">
        <f t="shared" si="4"/>
        <v>779600</v>
      </c>
      <c r="N126" s="52">
        <f t="shared" si="5"/>
        <v>1</v>
      </c>
    </row>
    <row r="127" spans="1:14">
      <c r="A127" s="149" t="s">
        <v>32</v>
      </c>
      <c r="B127" s="17" t="s">
        <v>33</v>
      </c>
      <c r="C127" s="18">
        <v>162000</v>
      </c>
      <c r="D127" s="18">
        <v>162000</v>
      </c>
      <c r="E127" s="37">
        <v>155400</v>
      </c>
      <c r="F127" s="18">
        <v>0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64">
        <v>162000</v>
      </c>
      <c r="M127" s="51">
        <f t="shared" si="4"/>
        <v>162000</v>
      </c>
      <c r="N127" s="52">
        <f t="shared" si="5"/>
        <v>1</v>
      </c>
    </row>
    <row r="128" spans="1:14">
      <c r="A128" s="151" t="s">
        <v>36</v>
      </c>
      <c r="B128" s="23" t="s">
        <v>37</v>
      </c>
      <c r="C128" s="25">
        <v>521000</v>
      </c>
      <c r="D128" s="25">
        <v>521000</v>
      </c>
      <c r="E128" s="42">
        <v>480000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160">
        <v>521000</v>
      </c>
      <c r="M128" s="51">
        <f t="shared" si="4"/>
        <v>521000</v>
      </c>
      <c r="N128" s="52">
        <f t="shared" si="5"/>
        <v>1</v>
      </c>
    </row>
    <row r="129" spans="1:14">
      <c r="A129" s="149" t="s">
        <v>38</v>
      </c>
      <c r="B129" s="17" t="s">
        <v>39</v>
      </c>
      <c r="C129" s="18">
        <v>521000</v>
      </c>
      <c r="D129" s="18">
        <v>521000</v>
      </c>
      <c r="E129" s="37">
        <v>480000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64">
        <v>521000</v>
      </c>
      <c r="M129" s="51">
        <f t="shared" si="4"/>
        <v>521000</v>
      </c>
      <c r="N129" s="52">
        <f t="shared" si="5"/>
        <v>1</v>
      </c>
    </row>
    <row r="130" spans="1:14">
      <c r="A130" s="149" t="s">
        <v>40</v>
      </c>
      <c r="B130" s="17" t="s">
        <v>41</v>
      </c>
      <c r="C130" s="18">
        <v>521000</v>
      </c>
      <c r="D130" s="18">
        <v>521000</v>
      </c>
      <c r="E130" s="37">
        <v>480000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64">
        <v>521000</v>
      </c>
      <c r="M130" s="51">
        <f t="shared" si="4"/>
        <v>521000</v>
      </c>
      <c r="N130" s="52">
        <f t="shared" si="5"/>
        <v>1</v>
      </c>
    </row>
    <row r="131" spans="1:14">
      <c r="A131" s="147" t="s">
        <v>118</v>
      </c>
      <c r="B131" s="9" t="s">
        <v>119</v>
      </c>
      <c r="C131" s="11">
        <v>141121300</v>
      </c>
      <c r="D131" s="11">
        <v>141121300</v>
      </c>
      <c r="E131" s="36">
        <v>110122287</v>
      </c>
      <c r="F131" s="11">
        <v>96862600</v>
      </c>
      <c r="G131" s="11">
        <v>8546500</v>
      </c>
      <c r="H131" s="11">
        <v>4551000</v>
      </c>
      <c r="I131" s="11">
        <v>14657000</v>
      </c>
      <c r="J131" s="11">
        <v>3931000</v>
      </c>
      <c r="K131" s="11">
        <v>5262900</v>
      </c>
      <c r="L131" s="155">
        <v>2776000</v>
      </c>
      <c r="M131" s="51">
        <f t="shared" si="4"/>
        <v>136587000</v>
      </c>
      <c r="N131" s="52">
        <f t="shared" si="5"/>
        <v>0.96786948532928763</v>
      </c>
    </row>
    <row r="132" spans="1:14" ht="25.75">
      <c r="A132" s="149" t="s">
        <v>120</v>
      </c>
      <c r="B132" s="47" t="s">
        <v>319</v>
      </c>
      <c r="C132" s="18">
        <v>1871600</v>
      </c>
      <c r="D132" s="18">
        <v>1871600</v>
      </c>
      <c r="E132" s="37" t="s">
        <v>318</v>
      </c>
      <c r="F132" s="18">
        <v>1871600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57">
        <v>0</v>
      </c>
      <c r="M132" s="51">
        <f t="shared" si="4"/>
        <v>1871600</v>
      </c>
      <c r="N132" s="52">
        <f t="shared" si="5"/>
        <v>1</v>
      </c>
    </row>
    <row r="133" spans="1:14">
      <c r="A133" s="150" t="s">
        <v>24</v>
      </c>
      <c r="B133" s="19" t="s">
        <v>25</v>
      </c>
      <c r="C133" s="21">
        <v>1871600</v>
      </c>
      <c r="D133" s="21">
        <v>1871600</v>
      </c>
      <c r="E133" s="46" t="s">
        <v>318</v>
      </c>
      <c r="F133" s="21">
        <v>1871600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163">
        <v>0</v>
      </c>
      <c r="M133" s="51">
        <f t="shared" si="4"/>
        <v>1871600</v>
      </c>
      <c r="N133" s="52">
        <f t="shared" si="5"/>
        <v>1</v>
      </c>
    </row>
    <row r="134" spans="1:14">
      <c r="A134" s="151" t="s">
        <v>26</v>
      </c>
      <c r="B134" s="23" t="s">
        <v>27</v>
      </c>
      <c r="C134" s="25">
        <v>1871600</v>
      </c>
      <c r="D134" s="25">
        <v>1871600</v>
      </c>
      <c r="E134" s="42" t="s">
        <v>318</v>
      </c>
      <c r="F134" s="25">
        <v>1871600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160">
        <v>0</v>
      </c>
      <c r="M134" s="51">
        <f t="shared" si="4"/>
        <v>1871600</v>
      </c>
      <c r="N134" s="52">
        <f t="shared" si="5"/>
        <v>1</v>
      </c>
    </row>
    <row r="135" spans="1:14">
      <c r="A135" s="149" t="s">
        <v>28</v>
      </c>
      <c r="B135" s="17" t="s">
        <v>29</v>
      </c>
      <c r="C135" s="18">
        <v>1871600</v>
      </c>
      <c r="D135" s="18">
        <v>1871600</v>
      </c>
      <c r="E135" s="37" t="s">
        <v>318</v>
      </c>
      <c r="F135" s="41">
        <v>1871600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57">
        <v>0</v>
      </c>
      <c r="M135" s="51">
        <f t="shared" si="4"/>
        <v>1871600</v>
      </c>
      <c r="N135" s="52">
        <f t="shared" si="5"/>
        <v>1</v>
      </c>
    </row>
    <row r="136" spans="1:14">
      <c r="A136" s="149" t="s">
        <v>121</v>
      </c>
      <c r="B136" s="17" t="s">
        <v>122</v>
      </c>
      <c r="C136" s="18">
        <v>1871600</v>
      </c>
      <c r="D136" s="18">
        <v>1871600</v>
      </c>
      <c r="E136" s="37" t="s">
        <v>318</v>
      </c>
      <c r="F136" s="41">
        <v>1871600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57">
        <v>0</v>
      </c>
      <c r="M136" s="51">
        <f t="shared" si="4"/>
        <v>1871600</v>
      </c>
      <c r="N136" s="52">
        <f t="shared" si="5"/>
        <v>1</v>
      </c>
    </row>
    <row r="137" spans="1:14">
      <c r="A137" s="149" t="s">
        <v>123</v>
      </c>
      <c r="B137" s="17" t="s">
        <v>124</v>
      </c>
      <c r="C137" s="18">
        <v>2044000</v>
      </c>
      <c r="D137" s="18">
        <v>2044000</v>
      </c>
      <c r="E137" s="37">
        <v>471327</v>
      </c>
      <c r="F137" s="18">
        <v>511000</v>
      </c>
      <c r="G137" s="18">
        <v>0</v>
      </c>
      <c r="H137" s="18">
        <v>511000</v>
      </c>
      <c r="I137" s="18">
        <v>0</v>
      </c>
      <c r="J137" s="18">
        <v>511000</v>
      </c>
      <c r="K137" s="18">
        <v>0</v>
      </c>
      <c r="L137" s="157">
        <v>511000</v>
      </c>
      <c r="M137" s="51">
        <f t="shared" si="4"/>
        <v>2044000</v>
      </c>
      <c r="N137" s="52">
        <f t="shared" si="5"/>
        <v>1</v>
      </c>
    </row>
    <row r="138" spans="1:14">
      <c r="A138" s="150" t="s">
        <v>24</v>
      </c>
      <c r="B138" s="19" t="s">
        <v>25</v>
      </c>
      <c r="C138" s="21">
        <v>2044000</v>
      </c>
      <c r="D138" s="21">
        <v>2044000</v>
      </c>
      <c r="E138" s="46">
        <v>471327</v>
      </c>
      <c r="F138" s="21">
        <v>511000</v>
      </c>
      <c r="G138" s="21">
        <v>0</v>
      </c>
      <c r="H138" s="21">
        <v>511000</v>
      </c>
      <c r="I138" s="21">
        <v>0</v>
      </c>
      <c r="J138" s="21">
        <v>511000</v>
      </c>
      <c r="K138" s="21">
        <v>0</v>
      </c>
      <c r="L138" s="163">
        <v>511000</v>
      </c>
      <c r="M138" s="51">
        <f t="shared" si="4"/>
        <v>2044000</v>
      </c>
      <c r="N138" s="52">
        <f t="shared" si="5"/>
        <v>1</v>
      </c>
    </row>
    <row r="139" spans="1:14">
      <c r="A139" s="151" t="s">
        <v>26</v>
      </c>
      <c r="B139" s="23" t="s">
        <v>27</v>
      </c>
      <c r="C139" s="25">
        <v>2044000</v>
      </c>
      <c r="D139" s="25">
        <v>2044000</v>
      </c>
      <c r="E139" s="42">
        <v>471327</v>
      </c>
      <c r="F139" s="25">
        <v>511000</v>
      </c>
      <c r="G139" s="25">
        <v>0</v>
      </c>
      <c r="H139" s="25">
        <v>511000</v>
      </c>
      <c r="I139" s="25">
        <v>0</v>
      </c>
      <c r="J139" s="25">
        <v>511000</v>
      </c>
      <c r="K139" s="25">
        <v>0</v>
      </c>
      <c r="L139" s="160">
        <v>511000</v>
      </c>
      <c r="M139" s="51">
        <f t="shared" si="4"/>
        <v>2044000</v>
      </c>
      <c r="N139" s="52">
        <f t="shared" si="5"/>
        <v>1</v>
      </c>
    </row>
    <row r="140" spans="1:14">
      <c r="A140" s="149" t="s">
        <v>28</v>
      </c>
      <c r="B140" s="17" t="s">
        <v>29</v>
      </c>
      <c r="C140" s="18">
        <v>2044000</v>
      </c>
      <c r="D140" s="18">
        <v>2044000</v>
      </c>
      <c r="E140" s="37">
        <v>471327</v>
      </c>
      <c r="F140" s="39">
        <v>511000</v>
      </c>
      <c r="G140" s="18">
        <v>0</v>
      </c>
      <c r="H140" s="41">
        <v>511000</v>
      </c>
      <c r="I140" s="18">
        <v>0</v>
      </c>
      <c r="J140" s="41">
        <v>511000</v>
      </c>
      <c r="K140" s="18">
        <v>0</v>
      </c>
      <c r="L140" s="162">
        <v>511000</v>
      </c>
      <c r="M140" s="51">
        <f t="shared" si="4"/>
        <v>2044000</v>
      </c>
      <c r="N140" s="52">
        <f t="shared" si="5"/>
        <v>1</v>
      </c>
    </row>
    <row r="141" spans="1:14">
      <c r="A141" s="149" t="s">
        <v>125</v>
      </c>
      <c r="B141" s="17" t="s">
        <v>126</v>
      </c>
      <c r="C141" s="18">
        <v>2044000</v>
      </c>
      <c r="D141" s="18">
        <v>2044000</v>
      </c>
      <c r="E141" s="37">
        <v>471327</v>
      </c>
      <c r="F141" s="39">
        <v>511000</v>
      </c>
      <c r="G141" s="18">
        <v>0</v>
      </c>
      <c r="H141" s="41">
        <v>511000</v>
      </c>
      <c r="I141" s="18">
        <v>0</v>
      </c>
      <c r="J141" s="41">
        <v>511000</v>
      </c>
      <c r="K141" s="18">
        <v>0</v>
      </c>
      <c r="L141" s="162">
        <v>511000</v>
      </c>
      <c r="M141" s="51">
        <f t="shared" si="4"/>
        <v>2044000</v>
      </c>
      <c r="N141" s="52">
        <f t="shared" si="5"/>
        <v>1</v>
      </c>
    </row>
    <row r="142" spans="1:14">
      <c r="A142" s="149" t="s">
        <v>127</v>
      </c>
      <c r="B142" s="17" t="s">
        <v>128</v>
      </c>
      <c r="C142" s="18">
        <v>12408100</v>
      </c>
      <c r="D142" s="18">
        <v>12408100</v>
      </c>
      <c r="E142" s="37">
        <v>4234449</v>
      </c>
      <c r="F142" s="18">
        <v>0</v>
      </c>
      <c r="G142" s="18">
        <v>4425900</v>
      </c>
      <c r="H142" s="18">
        <v>0</v>
      </c>
      <c r="I142" s="18">
        <v>0</v>
      </c>
      <c r="J142" s="18">
        <v>0</v>
      </c>
      <c r="K142" s="18">
        <v>4587900</v>
      </c>
      <c r="L142" s="157">
        <v>0</v>
      </c>
      <c r="M142" s="51">
        <f t="shared" si="4"/>
        <v>9013800</v>
      </c>
      <c r="N142" s="52">
        <f t="shared" si="5"/>
        <v>0.72644482233379803</v>
      </c>
    </row>
    <row r="143" spans="1:14">
      <c r="A143" s="150" t="s">
        <v>24</v>
      </c>
      <c r="B143" s="19" t="s">
        <v>25</v>
      </c>
      <c r="C143" s="21">
        <v>12408100</v>
      </c>
      <c r="D143" s="21">
        <v>12408100</v>
      </c>
      <c r="E143" s="46">
        <v>4234449</v>
      </c>
      <c r="F143" s="21">
        <v>0</v>
      </c>
      <c r="G143" s="21">
        <v>4425900</v>
      </c>
      <c r="H143" s="21">
        <v>0</v>
      </c>
      <c r="I143" s="21">
        <v>0</v>
      </c>
      <c r="J143" s="21">
        <v>0</v>
      </c>
      <c r="K143" s="21">
        <v>4587900</v>
      </c>
      <c r="L143" s="163">
        <v>0</v>
      </c>
      <c r="M143" s="51">
        <f t="shared" si="4"/>
        <v>9013800</v>
      </c>
      <c r="N143" s="52">
        <f t="shared" si="5"/>
        <v>0.72644482233379803</v>
      </c>
    </row>
    <row r="144" spans="1:14">
      <c r="A144" s="151" t="s">
        <v>26</v>
      </c>
      <c r="B144" s="23" t="s">
        <v>27</v>
      </c>
      <c r="C144" s="25">
        <v>12408100</v>
      </c>
      <c r="D144" s="25">
        <v>12408100</v>
      </c>
      <c r="E144" s="42">
        <v>4234449</v>
      </c>
      <c r="F144" s="25">
        <v>0</v>
      </c>
      <c r="G144" s="25">
        <v>4425900</v>
      </c>
      <c r="H144" s="25">
        <v>0</v>
      </c>
      <c r="I144" s="25">
        <v>0</v>
      </c>
      <c r="J144" s="25">
        <v>0</v>
      </c>
      <c r="K144" s="25">
        <v>4587900</v>
      </c>
      <c r="L144" s="160">
        <v>0</v>
      </c>
      <c r="M144" s="51">
        <f t="shared" si="4"/>
        <v>9013800</v>
      </c>
      <c r="N144" s="52">
        <f t="shared" si="5"/>
        <v>0.72644482233379803</v>
      </c>
    </row>
    <row r="145" spans="1:14">
      <c r="A145" s="149" t="s">
        <v>28</v>
      </c>
      <c r="B145" s="17" t="s">
        <v>29</v>
      </c>
      <c r="C145" s="18">
        <v>12408100</v>
      </c>
      <c r="D145" s="18">
        <v>12408100</v>
      </c>
      <c r="E145" s="37">
        <v>4234449</v>
      </c>
      <c r="F145" s="18">
        <v>0</v>
      </c>
      <c r="G145" s="18">
        <v>4425900</v>
      </c>
      <c r="H145" s="18">
        <v>0</v>
      </c>
      <c r="I145" s="18">
        <v>0</v>
      </c>
      <c r="J145" s="18">
        <v>0</v>
      </c>
      <c r="K145" s="18">
        <v>4587900</v>
      </c>
      <c r="L145" s="157">
        <v>0</v>
      </c>
      <c r="M145" s="51">
        <f t="shared" si="4"/>
        <v>9013800</v>
      </c>
      <c r="N145" s="52">
        <f t="shared" si="5"/>
        <v>0.72644482233379803</v>
      </c>
    </row>
    <row r="146" spans="1:14">
      <c r="A146" s="149" t="s">
        <v>30</v>
      </c>
      <c r="B146" s="17" t="s">
        <v>31</v>
      </c>
      <c r="C146" s="18">
        <v>7752100</v>
      </c>
      <c r="D146" s="18">
        <v>7752100</v>
      </c>
      <c r="E146" s="37">
        <v>2563566</v>
      </c>
      <c r="F146" s="18">
        <v>0</v>
      </c>
      <c r="G146" s="39">
        <v>2866700</v>
      </c>
      <c r="H146" s="18">
        <v>0</v>
      </c>
      <c r="I146" s="18">
        <v>0</v>
      </c>
      <c r="J146" s="18">
        <v>0</v>
      </c>
      <c r="K146" s="41">
        <v>2866700</v>
      </c>
      <c r="L146" s="157">
        <v>0</v>
      </c>
      <c r="M146" s="51">
        <f t="shared" si="4"/>
        <v>5733400</v>
      </c>
      <c r="N146" s="52">
        <f t="shared" si="5"/>
        <v>0.73959314250332164</v>
      </c>
    </row>
    <row r="147" spans="1:14">
      <c r="A147" s="149" t="s">
        <v>32</v>
      </c>
      <c r="B147" s="17" t="s">
        <v>33</v>
      </c>
      <c r="C147" s="18">
        <v>1620000</v>
      </c>
      <c r="D147" s="18">
        <v>1620000</v>
      </c>
      <c r="E147" s="37">
        <v>708180</v>
      </c>
      <c r="F147" s="18">
        <v>0</v>
      </c>
      <c r="G147" s="39">
        <v>486000</v>
      </c>
      <c r="H147" s="18">
        <v>0</v>
      </c>
      <c r="I147" s="18">
        <v>0</v>
      </c>
      <c r="J147" s="18">
        <v>0</v>
      </c>
      <c r="K147" s="40">
        <v>648000</v>
      </c>
      <c r="L147" s="157">
        <v>0</v>
      </c>
      <c r="M147" s="51">
        <f t="shared" si="4"/>
        <v>1134000</v>
      </c>
      <c r="N147" s="52">
        <f t="shared" si="5"/>
        <v>0.7</v>
      </c>
    </row>
    <row r="148" spans="1:14">
      <c r="A148" s="149" t="s">
        <v>34</v>
      </c>
      <c r="B148" s="17" t="s">
        <v>35</v>
      </c>
      <c r="C148" s="18">
        <v>3036000</v>
      </c>
      <c r="D148" s="18">
        <v>3036000</v>
      </c>
      <c r="E148" s="37">
        <v>962703</v>
      </c>
      <c r="F148" s="18">
        <v>0</v>
      </c>
      <c r="G148" s="39">
        <v>1073200</v>
      </c>
      <c r="H148" s="18">
        <v>0</v>
      </c>
      <c r="I148" s="18">
        <v>0</v>
      </c>
      <c r="J148" s="18">
        <v>0</v>
      </c>
      <c r="K148" s="41">
        <v>1073200</v>
      </c>
      <c r="L148" s="157">
        <v>0</v>
      </c>
      <c r="M148" s="51">
        <f t="shared" si="4"/>
        <v>2146400</v>
      </c>
      <c r="N148" s="52">
        <f t="shared" si="5"/>
        <v>0.70698287220026346</v>
      </c>
    </row>
    <row r="149" spans="1:14">
      <c r="A149" s="149" t="s">
        <v>129</v>
      </c>
      <c r="B149" s="17" t="s">
        <v>130</v>
      </c>
      <c r="C149" s="18">
        <v>3582800</v>
      </c>
      <c r="D149" s="18">
        <v>3582800</v>
      </c>
      <c r="E149" s="37">
        <v>3397755</v>
      </c>
      <c r="F149" s="18">
        <v>0</v>
      </c>
      <c r="G149" s="18">
        <v>3582800</v>
      </c>
      <c r="H149" s="18">
        <v>0</v>
      </c>
      <c r="I149" s="18">
        <v>0</v>
      </c>
      <c r="J149" s="18">
        <v>0</v>
      </c>
      <c r="K149" s="18">
        <v>0</v>
      </c>
      <c r="L149" s="157">
        <v>0</v>
      </c>
      <c r="M149" s="51">
        <f t="shared" si="4"/>
        <v>3582800</v>
      </c>
      <c r="N149" s="52">
        <f t="shared" si="5"/>
        <v>1</v>
      </c>
    </row>
    <row r="150" spans="1:14">
      <c r="A150" s="150" t="s">
        <v>24</v>
      </c>
      <c r="B150" s="19" t="s">
        <v>25</v>
      </c>
      <c r="C150" s="21">
        <v>3582800</v>
      </c>
      <c r="D150" s="21">
        <v>3582800</v>
      </c>
      <c r="E150" s="46">
        <v>3397755</v>
      </c>
      <c r="F150" s="21">
        <v>0</v>
      </c>
      <c r="G150" s="21">
        <v>3582800</v>
      </c>
      <c r="H150" s="21">
        <v>0</v>
      </c>
      <c r="I150" s="21">
        <v>0</v>
      </c>
      <c r="J150" s="21">
        <v>0</v>
      </c>
      <c r="K150" s="21">
        <v>0</v>
      </c>
      <c r="L150" s="163">
        <v>0</v>
      </c>
      <c r="M150" s="51">
        <f t="shared" si="4"/>
        <v>3582800</v>
      </c>
      <c r="N150" s="52">
        <f t="shared" si="5"/>
        <v>1</v>
      </c>
    </row>
    <row r="151" spans="1:14">
      <c r="A151" s="151" t="s">
        <v>26</v>
      </c>
      <c r="B151" s="23" t="s">
        <v>27</v>
      </c>
      <c r="C151" s="25">
        <v>3582800</v>
      </c>
      <c r="D151" s="25">
        <v>3582800</v>
      </c>
      <c r="E151" s="42">
        <v>3397755</v>
      </c>
      <c r="F151" s="25">
        <v>0</v>
      </c>
      <c r="G151" s="25">
        <v>3582800</v>
      </c>
      <c r="H151" s="25">
        <v>0</v>
      </c>
      <c r="I151" s="25">
        <v>0</v>
      </c>
      <c r="J151" s="25">
        <v>0</v>
      </c>
      <c r="K151" s="25">
        <v>0</v>
      </c>
      <c r="L151" s="160">
        <v>0</v>
      </c>
      <c r="M151" s="51">
        <f t="shared" si="4"/>
        <v>3582800</v>
      </c>
      <c r="N151" s="52">
        <f t="shared" si="5"/>
        <v>1</v>
      </c>
    </row>
    <row r="152" spans="1:14">
      <c r="A152" s="149" t="s">
        <v>28</v>
      </c>
      <c r="B152" s="17" t="s">
        <v>29</v>
      </c>
      <c r="C152" s="18">
        <v>3582800</v>
      </c>
      <c r="D152" s="18">
        <v>3582800</v>
      </c>
      <c r="E152" s="37">
        <v>3397755</v>
      </c>
      <c r="F152" s="18">
        <v>0</v>
      </c>
      <c r="G152" s="18">
        <v>3582800</v>
      </c>
      <c r="H152" s="18">
        <v>0</v>
      </c>
      <c r="I152" s="18">
        <v>0</v>
      </c>
      <c r="J152" s="18">
        <v>0</v>
      </c>
      <c r="K152" s="18">
        <v>0</v>
      </c>
      <c r="L152" s="157">
        <v>0</v>
      </c>
      <c r="M152" s="51">
        <f t="shared" si="4"/>
        <v>3582800</v>
      </c>
      <c r="N152" s="52">
        <f t="shared" si="5"/>
        <v>1</v>
      </c>
    </row>
    <row r="153" spans="1:14">
      <c r="A153" s="149" t="s">
        <v>30</v>
      </c>
      <c r="B153" s="17" t="s">
        <v>31</v>
      </c>
      <c r="C153" s="18">
        <v>2893800</v>
      </c>
      <c r="D153" s="18">
        <v>2893800</v>
      </c>
      <c r="E153" s="37">
        <v>2751790</v>
      </c>
      <c r="F153" s="18">
        <v>0</v>
      </c>
      <c r="G153" s="39">
        <v>2893800</v>
      </c>
      <c r="H153" s="18">
        <v>0</v>
      </c>
      <c r="I153" s="18">
        <v>0</v>
      </c>
      <c r="J153" s="18">
        <v>0</v>
      </c>
      <c r="K153" s="18">
        <v>0</v>
      </c>
      <c r="L153" s="157">
        <v>0</v>
      </c>
      <c r="M153" s="51">
        <f t="shared" si="4"/>
        <v>2893800</v>
      </c>
      <c r="N153" s="52">
        <f t="shared" si="5"/>
        <v>1</v>
      </c>
    </row>
    <row r="154" spans="1:14">
      <c r="A154" s="149" t="s">
        <v>32</v>
      </c>
      <c r="B154" s="17" t="s">
        <v>33</v>
      </c>
      <c r="C154" s="18">
        <v>689000</v>
      </c>
      <c r="D154" s="18">
        <v>689000</v>
      </c>
      <c r="E154" s="37">
        <v>645965</v>
      </c>
      <c r="F154" s="18">
        <v>0</v>
      </c>
      <c r="G154" s="39">
        <v>689000</v>
      </c>
      <c r="H154" s="18">
        <v>0</v>
      </c>
      <c r="I154" s="18">
        <v>0</v>
      </c>
      <c r="J154" s="18">
        <v>0</v>
      </c>
      <c r="K154" s="18">
        <v>0</v>
      </c>
      <c r="L154" s="157">
        <v>0</v>
      </c>
      <c r="M154" s="51">
        <f t="shared" si="4"/>
        <v>689000</v>
      </c>
      <c r="N154" s="52">
        <f t="shared" si="5"/>
        <v>1</v>
      </c>
    </row>
    <row r="155" spans="1:14" ht="25.75">
      <c r="A155" s="149" t="s">
        <v>131</v>
      </c>
      <c r="B155" s="17" t="s">
        <v>132</v>
      </c>
      <c r="C155" s="18">
        <v>93892800</v>
      </c>
      <c r="D155" s="18">
        <v>93892800</v>
      </c>
      <c r="E155" s="37">
        <v>82673920</v>
      </c>
      <c r="F155" s="18">
        <v>93355000</v>
      </c>
      <c r="G155" s="18">
        <v>537800</v>
      </c>
      <c r="H155" s="18">
        <v>0</v>
      </c>
      <c r="I155" s="18">
        <v>0</v>
      </c>
      <c r="J155" s="18">
        <v>0</v>
      </c>
      <c r="K155" s="18">
        <v>0</v>
      </c>
      <c r="L155" s="157">
        <v>0</v>
      </c>
      <c r="M155" s="51">
        <f t="shared" si="4"/>
        <v>93892800</v>
      </c>
      <c r="N155" s="52">
        <f t="shared" si="5"/>
        <v>1</v>
      </c>
    </row>
    <row r="156" spans="1:14">
      <c r="A156" s="150" t="s">
        <v>24</v>
      </c>
      <c r="B156" s="19" t="s">
        <v>25</v>
      </c>
      <c r="C156" s="21">
        <v>93892800</v>
      </c>
      <c r="D156" s="21">
        <v>93892800</v>
      </c>
      <c r="E156" s="46">
        <v>82673920</v>
      </c>
      <c r="F156" s="21">
        <v>93355000</v>
      </c>
      <c r="G156" s="21">
        <v>537800</v>
      </c>
      <c r="H156" s="21">
        <v>0</v>
      </c>
      <c r="I156" s="21">
        <v>0</v>
      </c>
      <c r="J156" s="21">
        <v>0</v>
      </c>
      <c r="K156" s="21">
        <v>0</v>
      </c>
      <c r="L156" s="163">
        <v>0</v>
      </c>
      <c r="M156" s="51">
        <f t="shared" si="4"/>
        <v>93892800</v>
      </c>
      <c r="N156" s="52">
        <f t="shared" si="5"/>
        <v>1</v>
      </c>
    </row>
    <row r="157" spans="1:14">
      <c r="A157" s="151" t="s">
        <v>26</v>
      </c>
      <c r="B157" s="23" t="s">
        <v>27</v>
      </c>
      <c r="C157" s="25">
        <v>537800</v>
      </c>
      <c r="D157" s="25">
        <v>537800</v>
      </c>
      <c r="E157" s="42">
        <v>523920</v>
      </c>
      <c r="F157" s="25">
        <v>0</v>
      </c>
      <c r="G157" s="25">
        <v>537800</v>
      </c>
      <c r="H157" s="25">
        <v>0</v>
      </c>
      <c r="I157" s="25">
        <v>0</v>
      </c>
      <c r="J157" s="25">
        <v>0</v>
      </c>
      <c r="K157" s="25">
        <v>0</v>
      </c>
      <c r="L157" s="160">
        <v>0</v>
      </c>
      <c r="M157" s="51">
        <f t="shared" si="4"/>
        <v>537800</v>
      </c>
      <c r="N157" s="52">
        <f t="shared" si="5"/>
        <v>1</v>
      </c>
    </row>
    <row r="158" spans="1:14">
      <c r="A158" s="149" t="s">
        <v>28</v>
      </c>
      <c r="B158" s="17" t="s">
        <v>29</v>
      </c>
      <c r="C158" s="18">
        <v>537800</v>
      </c>
      <c r="D158" s="18">
        <v>537800</v>
      </c>
      <c r="E158" s="37">
        <v>523920</v>
      </c>
      <c r="F158" s="18">
        <v>0</v>
      </c>
      <c r="G158" s="18">
        <v>537800</v>
      </c>
      <c r="H158" s="18">
        <v>0</v>
      </c>
      <c r="I158" s="18">
        <v>0</v>
      </c>
      <c r="J158" s="18">
        <v>0</v>
      </c>
      <c r="K158" s="18">
        <v>0</v>
      </c>
      <c r="L158" s="157">
        <v>0</v>
      </c>
      <c r="M158" s="51">
        <f t="shared" si="4"/>
        <v>537800</v>
      </c>
      <c r="N158" s="52">
        <f t="shared" si="5"/>
        <v>1</v>
      </c>
    </row>
    <row r="159" spans="1:14">
      <c r="A159" s="149" t="s">
        <v>30</v>
      </c>
      <c r="B159" s="17" t="s">
        <v>31</v>
      </c>
      <c r="C159" s="18">
        <v>400000</v>
      </c>
      <c r="D159" s="18">
        <v>400000</v>
      </c>
      <c r="E159" s="37">
        <v>388500</v>
      </c>
      <c r="F159" s="18">
        <v>0</v>
      </c>
      <c r="G159" s="39">
        <v>400000</v>
      </c>
      <c r="H159" s="18">
        <v>0</v>
      </c>
      <c r="I159" s="18">
        <v>0</v>
      </c>
      <c r="J159" s="18">
        <v>0</v>
      </c>
      <c r="K159" s="18">
        <v>0</v>
      </c>
      <c r="L159" s="157">
        <v>0</v>
      </c>
      <c r="M159" s="51">
        <f t="shared" si="4"/>
        <v>400000</v>
      </c>
      <c r="N159" s="52">
        <f t="shared" si="5"/>
        <v>1</v>
      </c>
    </row>
    <row r="160" spans="1:14">
      <c r="A160" s="149" t="s">
        <v>32</v>
      </c>
      <c r="B160" s="17" t="s">
        <v>33</v>
      </c>
      <c r="C160" s="18">
        <v>137800</v>
      </c>
      <c r="D160" s="18">
        <v>137800</v>
      </c>
      <c r="E160" s="37">
        <v>135420</v>
      </c>
      <c r="F160" s="18">
        <v>0</v>
      </c>
      <c r="G160" s="39">
        <v>137800</v>
      </c>
      <c r="H160" s="18">
        <v>0</v>
      </c>
      <c r="I160" s="18">
        <v>0</v>
      </c>
      <c r="J160" s="18">
        <v>0</v>
      </c>
      <c r="K160" s="18">
        <v>0</v>
      </c>
      <c r="L160" s="157">
        <v>0</v>
      </c>
      <c r="M160" s="51">
        <f t="shared" si="4"/>
        <v>137800</v>
      </c>
      <c r="N160" s="52">
        <f t="shared" si="5"/>
        <v>1</v>
      </c>
    </row>
    <row r="161" spans="1:14">
      <c r="A161" s="151" t="s">
        <v>36</v>
      </c>
      <c r="B161" s="23" t="s">
        <v>37</v>
      </c>
      <c r="C161" s="25">
        <v>93355000</v>
      </c>
      <c r="D161" s="25">
        <v>93355000</v>
      </c>
      <c r="E161" s="42">
        <v>82150000</v>
      </c>
      <c r="F161" s="25">
        <v>93355000</v>
      </c>
      <c r="G161" s="25">
        <v>0</v>
      </c>
      <c r="H161" s="25">
        <v>0</v>
      </c>
      <c r="I161" s="25">
        <v>0</v>
      </c>
      <c r="J161" s="25">
        <v>0</v>
      </c>
      <c r="K161" s="25">
        <v>0</v>
      </c>
      <c r="L161" s="160">
        <v>0</v>
      </c>
      <c r="M161" s="51">
        <f t="shared" si="4"/>
        <v>93355000</v>
      </c>
      <c r="N161" s="52">
        <f t="shared" si="5"/>
        <v>1</v>
      </c>
    </row>
    <row r="162" spans="1:14">
      <c r="A162" s="149" t="s">
        <v>38</v>
      </c>
      <c r="B162" s="17" t="s">
        <v>39</v>
      </c>
      <c r="C162" s="18">
        <v>93355000</v>
      </c>
      <c r="D162" s="18">
        <v>93355000</v>
      </c>
      <c r="E162" s="37">
        <v>82150000</v>
      </c>
      <c r="F162" s="18">
        <v>93355000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57">
        <v>0</v>
      </c>
      <c r="M162" s="51">
        <f t="shared" si="4"/>
        <v>93355000</v>
      </c>
      <c r="N162" s="52">
        <f t="shared" si="5"/>
        <v>1</v>
      </c>
    </row>
    <row r="163" spans="1:14">
      <c r="A163" s="149" t="s">
        <v>133</v>
      </c>
      <c r="B163" s="17" t="s">
        <v>134</v>
      </c>
      <c r="C163" s="18">
        <v>93355000</v>
      </c>
      <c r="D163" s="18">
        <v>93355000</v>
      </c>
      <c r="E163" s="37">
        <v>82150000</v>
      </c>
      <c r="F163" s="40">
        <v>93355000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57">
        <v>0</v>
      </c>
      <c r="M163" s="51">
        <f t="shared" si="4"/>
        <v>93355000</v>
      </c>
      <c r="N163" s="52">
        <f t="shared" si="5"/>
        <v>1</v>
      </c>
    </row>
    <row r="164" spans="1:14">
      <c r="A164" s="149" t="s">
        <v>135</v>
      </c>
      <c r="B164" s="17" t="s">
        <v>136</v>
      </c>
      <c r="C164" s="18">
        <v>4050000</v>
      </c>
      <c r="D164" s="18">
        <v>4050000</v>
      </c>
      <c r="E164" s="37">
        <v>1001250</v>
      </c>
      <c r="F164" s="18">
        <v>1125000</v>
      </c>
      <c r="G164" s="18">
        <v>0</v>
      </c>
      <c r="H164" s="18">
        <v>0</v>
      </c>
      <c r="I164" s="18">
        <v>1125000</v>
      </c>
      <c r="J164" s="18">
        <v>0</v>
      </c>
      <c r="K164" s="18">
        <v>675000</v>
      </c>
      <c r="L164" s="157">
        <v>1125000</v>
      </c>
      <c r="M164" s="51">
        <f t="shared" si="4"/>
        <v>4050000</v>
      </c>
      <c r="N164" s="52">
        <f t="shared" si="5"/>
        <v>1</v>
      </c>
    </row>
    <row r="165" spans="1:14">
      <c r="A165" s="150" t="s">
        <v>24</v>
      </c>
      <c r="B165" s="19" t="s">
        <v>25</v>
      </c>
      <c r="C165" s="21">
        <v>4050000</v>
      </c>
      <c r="D165" s="21">
        <v>4050000</v>
      </c>
      <c r="E165" s="46">
        <v>1001250</v>
      </c>
      <c r="F165" s="21">
        <v>1125000</v>
      </c>
      <c r="G165" s="21">
        <v>0</v>
      </c>
      <c r="H165" s="21">
        <v>0</v>
      </c>
      <c r="I165" s="21">
        <v>1125000</v>
      </c>
      <c r="J165" s="21">
        <v>0</v>
      </c>
      <c r="K165" s="21">
        <v>675000</v>
      </c>
      <c r="L165" s="163">
        <v>1125000</v>
      </c>
      <c r="M165" s="51">
        <f t="shared" si="4"/>
        <v>4050000</v>
      </c>
      <c r="N165" s="52">
        <f t="shared" si="5"/>
        <v>1</v>
      </c>
    </row>
    <row r="166" spans="1:14">
      <c r="A166" s="151" t="s">
        <v>26</v>
      </c>
      <c r="B166" s="23" t="s">
        <v>27</v>
      </c>
      <c r="C166" s="25">
        <v>4050000</v>
      </c>
      <c r="D166" s="25">
        <v>4050000</v>
      </c>
      <c r="E166" s="42">
        <v>1001250</v>
      </c>
      <c r="F166" s="25">
        <v>1125000</v>
      </c>
      <c r="G166" s="25">
        <v>0</v>
      </c>
      <c r="H166" s="25">
        <v>0</v>
      </c>
      <c r="I166" s="25">
        <v>1125000</v>
      </c>
      <c r="J166" s="25">
        <v>0</v>
      </c>
      <c r="K166" s="25">
        <v>675000</v>
      </c>
      <c r="L166" s="160">
        <v>1125000</v>
      </c>
      <c r="M166" s="51">
        <f t="shared" si="4"/>
        <v>4050000</v>
      </c>
      <c r="N166" s="52">
        <f t="shared" si="5"/>
        <v>1</v>
      </c>
    </row>
    <row r="167" spans="1:14">
      <c r="A167" s="149" t="s">
        <v>28</v>
      </c>
      <c r="B167" s="17" t="s">
        <v>29</v>
      </c>
      <c r="C167" s="18">
        <v>4050000</v>
      </c>
      <c r="D167" s="18">
        <v>4050000</v>
      </c>
      <c r="E167" s="37">
        <v>1001250</v>
      </c>
      <c r="F167" s="18">
        <v>1125000</v>
      </c>
      <c r="G167" s="18">
        <v>0</v>
      </c>
      <c r="H167" s="18">
        <v>0</v>
      </c>
      <c r="I167" s="18">
        <v>1125000</v>
      </c>
      <c r="J167" s="18">
        <v>0</v>
      </c>
      <c r="K167" s="18">
        <v>675000</v>
      </c>
      <c r="L167" s="157">
        <v>1125000</v>
      </c>
      <c r="M167" s="51">
        <f t="shared" si="4"/>
        <v>4050000</v>
      </c>
      <c r="N167" s="52">
        <f t="shared" si="5"/>
        <v>1</v>
      </c>
    </row>
    <row r="168" spans="1:14">
      <c r="A168" s="149" t="s">
        <v>137</v>
      </c>
      <c r="B168" s="17" t="s">
        <v>138</v>
      </c>
      <c r="C168" s="18">
        <v>4050000</v>
      </c>
      <c r="D168" s="18">
        <v>4050000</v>
      </c>
      <c r="E168" s="37">
        <v>1001250</v>
      </c>
      <c r="F168" s="39">
        <v>1125000</v>
      </c>
      <c r="G168" s="18">
        <v>0</v>
      </c>
      <c r="H168" s="18">
        <v>0</v>
      </c>
      <c r="I168" s="41">
        <v>1125000</v>
      </c>
      <c r="J168" s="18">
        <v>0</v>
      </c>
      <c r="K168" s="41">
        <v>675000</v>
      </c>
      <c r="L168" s="162">
        <v>1125000</v>
      </c>
      <c r="M168" s="51">
        <f t="shared" si="4"/>
        <v>4050000</v>
      </c>
      <c r="N168" s="52">
        <f t="shared" si="5"/>
        <v>1</v>
      </c>
    </row>
    <row r="169" spans="1:14">
      <c r="A169" s="149" t="s">
        <v>139</v>
      </c>
      <c r="B169" s="17" t="s">
        <v>140</v>
      </c>
      <c r="C169" s="18">
        <v>23272000</v>
      </c>
      <c r="D169" s="18">
        <v>23272000</v>
      </c>
      <c r="E169" s="37">
        <v>18343586</v>
      </c>
      <c r="F169" s="18">
        <v>0</v>
      </c>
      <c r="G169" s="18">
        <v>0</v>
      </c>
      <c r="H169" s="18">
        <v>4040000</v>
      </c>
      <c r="I169" s="18">
        <v>13532000</v>
      </c>
      <c r="J169" s="18">
        <v>3420000</v>
      </c>
      <c r="K169" s="18">
        <v>0</v>
      </c>
      <c r="L169" s="157">
        <v>1140000</v>
      </c>
      <c r="M169" s="51">
        <f t="shared" si="4"/>
        <v>22132000</v>
      </c>
      <c r="N169" s="52">
        <f t="shared" si="5"/>
        <v>0.95101409419044347</v>
      </c>
    </row>
    <row r="170" spans="1:14">
      <c r="A170" s="150" t="s">
        <v>24</v>
      </c>
      <c r="B170" s="19" t="s">
        <v>25</v>
      </c>
      <c r="C170" s="21">
        <v>23272000</v>
      </c>
      <c r="D170" s="21">
        <v>23272000</v>
      </c>
      <c r="E170" s="46">
        <v>18343586</v>
      </c>
      <c r="F170" s="21">
        <v>0</v>
      </c>
      <c r="G170" s="21">
        <v>0</v>
      </c>
      <c r="H170" s="21">
        <v>4040000</v>
      </c>
      <c r="I170" s="21">
        <v>13532000</v>
      </c>
      <c r="J170" s="21">
        <v>3420000</v>
      </c>
      <c r="K170" s="21">
        <v>0</v>
      </c>
      <c r="L170" s="163">
        <v>1140000</v>
      </c>
      <c r="M170" s="51">
        <f t="shared" si="4"/>
        <v>22132000</v>
      </c>
      <c r="N170" s="52">
        <f t="shared" si="5"/>
        <v>0.95101409419044347</v>
      </c>
    </row>
    <row r="171" spans="1:14">
      <c r="A171" s="151" t="s">
        <v>42</v>
      </c>
      <c r="B171" s="23" t="s">
        <v>43</v>
      </c>
      <c r="C171" s="25">
        <v>23272000</v>
      </c>
      <c r="D171" s="25">
        <v>23272000</v>
      </c>
      <c r="E171" s="42">
        <v>18343586</v>
      </c>
      <c r="F171" s="25">
        <v>0</v>
      </c>
      <c r="G171" s="25">
        <v>0</v>
      </c>
      <c r="H171" s="25">
        <v>4040000</v>
      </c>
      <c r="I171" s="25">
        <v>13532000</v>
      </c>
      <c r="J171" s="25">
        <v>3420000</v>
      </c>
      <c r="K171" s="25">
        <v>0</v>
      </c>
      <c r="L171" s="160">
        <v>1140000</v>
      </c>
      <c r="M171" s="51">
        <f t="shared" si="4"/>
        <v>22132000</v>
      </c>
      <c r="N171" s="52">
        <f t="shared" si="5"/>
        <v>0.95101409419044347</v>
      </c>
    </row>
    <row r="172" spans="1:14">
      <c r="A172" s="149" t="s">
        <v>44</v>
      </c>
      <c r="B172" s="17" t="s">
        <v>45</v>
      </c>
      <c r="C172" s="18">
        <v>23272000</v>
      </c>
      <c r="D172" s="18">
        <v>23272000</v>
      </c>
      <c r="E172" s="37">
        <v>18343586</v>
      </c>
      <c r="F172" s="18">
        <v>0</v>
      </c>
      <c r="G172" s="18">
        <v>0</v>
      </c>
      <c r="H172" s="18">
        <v>4040000</v>
      </c>
      <c r="I172" s="18">
        <v>13532000</v>
      </c>
      <c r="J172" s="18">
        <v>3420000</v>
      </c>
      <c r="K172" s="18">
        <v>0</v>
      </c>
      <c r="L172" s="157">
        <v>1140000</v>
      </c>
      <c r="M172" s="51">
        <f t="shared" si="4"/>
        <v>22132000</v>
      </c>
      <c r="N172" s="52">
        <f t="shared" si="5"/>
        <v>0.95101409419044347</v>
      </c>
    </row>
    <row r="173" spans="1:14">
      <c r="A173" s="149" t="s">
        <v>46</v>
      </c>
      <c r="B173" s="17" t="s">
        <v>47</v>
      </c>
      <c r="C173" s="18">
        <v>16952000</v>
      </c>
      <c r="D173" s="18">
        <v>16952000</v>
      </c>
      <c r="E173" s="37">
        <v>15793586</v>
      </c>
      <c r="F173" s="18">
        <v>0</v>
      </c>
      <c r="G173" s="18">
        <v>0</v>
      </c>
      <c r="H173" s="39">
        <v>1140000</v>
      </c>
      <c r="I173" s="39">
        <v>13532000</v>
      </c>
      <c r="J173" s="18">
        <v>0</v>
      </c>
      <c r="K173" s="18">
        <v>0</v>
      </c>
      <c r="L173" s="164">
        <v>1140000</v>
      </c>
      <c r="M173" s="51">
        <f t="shared" si="4"/>
        <v>15812000</v>
      </c>
      <c r="N173" s="52">
        <f t="shared" si="5"/>
        <v>0.93275129778197263</v>
      </c>
    </row>
    <row r="174" spans="1:14">
      <c r="A174" s="149" t="s">
        <v>141</v>
      </c>
      <c r="B174" s="17" t="s">
        <v>142</v>
      </c>
      <c r="C174" s="18">
        <v>6320000</v>
      </c>
      <c r="D174" s="18">
        <v>6320000</v>
      </c>
      <c r="E174" s="37">
        <v>2550000</v>
      </c>
      <c r="F174" s="18">
        <v>0</v>
      </c>
      <c r="G174" s="18">
        <v>0</v>
      </c>
      <c r="H174" s="39">
        <v>2900000</v>
      </c>
      <c r="I174" s="18">
        <v>0</v>
      </c>
      <c r="J174" s="41">
        <v>3420000</v>
      </c>
      <c r="K174" s="18">
        <v>0</v>
      </c>
      <c r="L174" s="157">
        <v>0</v>
      </c>
      <c r="M174" s="51">
        <f t="shared" si="4"/>
        <v>6320000</v>
      </c>
      <c r="N174" s="52">
        <f t="shared" si="5"/>
        <v>1</v>
      </c>
    </row>
    <row r="175" spans="1:14" ht="25.75">
      <c r="A175" s="147" t="s">
        <v>143</v>
      </c>
      <c r="B175" s="9" t="s">
        <v>144</v>
      </c>
      <c r="C175" s="11">
        <v>109048100</v>
      </c>
      <c r="D175" s="11">
        <v>109048100</v>
      </c>
      <c r="E175" s="36" t="s">
        <v>318</v>
      </c>
      <c r="F175" s="11">
        <v>0</v>
      </c>
      <c r="G175" s="48">
        <v>109048100</v>
      </c>
      <c r="H175" s="11">
        <v>0</v>
      </c>
      <c r="I175" s="11">
        <v>0</v>
      </c>
      <c r="J175" s="11">
        <v>0</v>
      </c>
      <c r="K175" s="11">
        <v>0</v>
      </c>
      <c r="L175" s="155">
        <v>0</v>
      </c>
      <c r="M175" s="51">
        <f t="shared" si="4"/>
        <v>109048100</v>
      </c>
      <c r="N175" s="52">
        <f t="shared" si="5"/>
        <v>1</v>
      </c>
    </row>
    <row r="176" spans="1:14">
      <c r="A176" s="149" t="s">
        <v>145</v>
      </c>
      <c r="B176" s="17" t="s">
        <v>146</v>
      </c>
      <c r="C176" s="18">
        <v>109048100</v>
      </c>
      <c r="D176" s="18">
        <v>109048100</v>
      </c>
      <c r="E176" s="37" t="s">
        <v>318</v>
      </c>
      <c r="F176" s="18">
        <v>0</v>
      </c>
      <c r="G176" s="41">
        <v>109048100</v>
      </c>
      <c r="H176" s="18">
        <v>0</v>
      </c>
      <c r="I176" s="18">
        <v>0</v>
      </c>
      <c r="J176" s="18">
        <v>0</v>
      </c>
      <c r="K176" s="18">
        <v>0</v>
      </c>
      <c r="L176" s="157">
        <v>0</v>
      </c>
      <c r="M176" s="51">
        <f t="shared" si="4"/>
        <v>109048100</v>
      </c>
      <c r="N176" s="52">
        <f t="shared" si="5"/>
        <v>1</v>
      </c>
    </row>
    <row r="177" spans="1:14">
      <c r="A177" s="147" t="s">
        <v>147</v>
      </c>
      <c r="B177" s="9" t="s">
        <v>148</v>
      </c>
      <c r="C177" s="11">
        <v>109048100</v>
      </c>
      <c r="D177" s="11">
        <v>109048100</v>
      </c>
      <c r="E177" s="36" t="s">
        <v>318</v>
      </c>
      <c r="F177" s="11">
        <v>0</v>
      </c>
      <c r="G177" s="48">
        <v>109048100</v>
      </c>
      <c r="H177" s="11">
        <v>0</v>
      </c>
      <c r="I177" s="11">
        <v>0</v>
      </c>
      <c r="J177" s="11">
        <v>0</v>
      </c>
      <c r="K177" s="11">
        <v>0</v>
      </c>
      <c r="L177" s="155">
        <v>0</v>
      </c>
      <c r="M177" s="51">
        <f t="shared" si="4"/>
        <v>109048100</v>
      </c>
      <c r="N177" s="52">
        <f t="shared" si="5"/>
        <v>1</v>
      </c>
    </row>
    <row r="178" spans="1:14">
      <c r="A178" s="150" t="s">
        <v>149</v>
      </c>
      <c r="B178" s="19" t="s">
        <v>150</v>
      </c>
      <c r="C178" s="21">
        <v>109048100</v>
      </c>
      <c r="D178" s="21">
        <v>109048100</v>
      </c>
      <c r="E178" s="46" t="s">
        <v>318</v>
      </c>
      <c r="F178" s="21">
        <v>0</v>
      </c>
      <c r="G178" s="49">
        <v>109048100</v>
      </c>
      <c r="H178" s="21">
        <v>0</v>
      </c>
      <c r="I178" s="21">
        <v>0</v>
      </c>
      <c r="J178" s="21">
        <v>0</v>
      </c>
      <c r="K178" s="21">
        <v>0</v>
      </c>
      <c r="L178" s="163">
        <v>0</v>
      </c>
      <c r="M178" s="51">
        <f t="shared" si="4"/>
        <v>109048100</v>
      </c>
      <c r="N178" s="52">
        <f t="shared" si="5"/>
        <v>1</v>
      </c>
    </row>
    <row r="179" spans="1:14">
      <c r="A179" s="151" t="s">
        <v>151</v>
      </c>
      <c r="B179" s="23" t="s">
        <v>152</v>
      </c>
      <c r="C179" s="25">
        <v>140000</v>
      </c>
      <c r="D179" s="25">
        <v>140000</v>
      </c>
      <c r="E179" s="42" t="s">
        <v>318</v>
      </c>
      <c r="F179" s="25">
        <v>0</v>
      </c>
      <c r="G179" s="45">
        <v>140000</v>
      </c>
      <c r="H179" s="25">
        <v>0</v>
      </c>
      <c r="I179" s="25">
        <v>0</v>
      </c>
      <c r="J179" s="25">
        <v>0</v>
      </c>
      <c r="K179" s="25">
        <v>0</v>
      </c>
      <c r="L179" s="160">
        <v>0</v>
      </c>
      <c r="M179" s="51">
        <f t="shared" si="4"/>
        <v>140000</v>
      </c>
      <c r="N179" s="52">
        <f t="shared" si="5"/>
        <v>1</v>
      </c>
    </row>
    <row r="180" spans="1:14">
      <c r="A180" s="149" t="s">
        <v>153</v>
      </c>
      <c r="B180" s="17" t="s">
        <v>154</v>
      </c>
      <c r="C180" s="18">
        <v>140000</v>
      </c>
      <c r="D180" s="18">
        <v>140000</v>
      </c>
      <c r="E180" s="37" t="s">
        <v>318</v>
      </c>
      <c r="F180" s="18">
        <v>0</v>
      </c>
      <c r="G180" s="41">
        <v>140000</v>
      </c>
      <c r="H180" s="18">
        <v>0</v>
      </c>
      <c r="I180" s="18">
        <v>0</v>
      </c>
      <c r="J180" s="18">
        <v>0</v>
      </c>
      <c r="K180" s="18">
        <v>0</v>
      </c>
      <c r="L180" s="157">
        <v>0</v>
      </c>
      <c r="M180" s="51">
        <f t="shared" ref="M180:M237" si="6">SUM(F180:L180)</f>
        <v>140000</v>
      </c>
      <c r="N180" s="52">
        <f t="shared" ref="N180:N237" si="7">M180/D180*100%</f>
        <v>1</v>
      </c>
    </row>
    <row r="181" spans="1:14">
      <c r="A181" s="149" t="s">
        <v>155</v>
      </c>
      <c r="B181" s="17" t="s">
        <v>156</v>
      </c>
      <c r="C181" s="18">
        <v>140000</v>
      </c>
      <c r="D181" s="18">
        <v>140000</v>
      </c>
      <c r="E181" s="37" t="s">
        <v>318</v>
      </c>
      <c r="F181" s="18">
        <v>0</v>
      </c>
      <c r="G181" s="41">
        <v>140000</v>
      </c>
      <c r="H181" s="18">
        <v>0</v>
      </c>
      <c r="I181" s="18">
        <v>0</v>
      </c>
      <c r="J181" s="18">
        <v>0</v>
      </c>
      <c r="K181" s="18">
        <v>0</v>
      </c>
      <c r="L181" s="157">
        <v>0</v>
      </c>
      <c r="M181" s="51">
        <f t="shared" si="6"/>
        <v>140000</v>
      </c>
      <c r="N181" s="52">
        <f t="shared" si="7"/>
        <v>1</v>
      </c>
    </row>
    <row r="182" spans="1:14">
      <c r="A182" s="151" t="s">
        <v>157</v>
      </c>
      <c r="B182" s="23" t="s">
        <v>158</v>
      </c>
      <c r="C182" s="25">
        <v>108908100</v>
      </c>
      <c r="D182" s="25">
        <v>108908100</v>
      </c>
      <c r="E182" s="42" t="s">
        <v>318</v>
      </c>
      <c r="F182" s="25">
        <v>0</v>
      </c>
      <c r="G182" s="45">
        <v>108908100</v>
      </c>
      <c r="H182" s="25">
        <v>0</v>
      </c>
      <c r="I182" s="25">
        <v>0</v>
      </c>
      <c r="J182" s="25">
        <v>0</v>
      </c>
      <c r="K182" s="25">
        <v>0</v>
      </c>
      <c r="L182" s="160">
        <v>0</v>
      </c>
      <c r="M182" s="51">
        <f t="shared" si="6"/>
        <v>108908100</v>
      </c>
      <c r="N182" s="52">
        <f t="shared" si="7"/>
        <v>1</v>
      </c>
    </row>
    <row r="183" spans="1:14">
      <c r="A183" s="149" t="s">
        <v>159</v>
      </c>
      <c r="B183" s="17" t="s">
        <v>160</v>
      </c>
      <c r="C183" s="18">
        <v>108908100</v>
      </c>
      <c r="D183" s="18">
        <v>108908100</v>
      </c>
      <c r="E183" s="37" t="s">
        <v>318</v>
      </c>
      <c r="F183" s="18">
        <v>0</v>
      </c>
      <c r="G183" s="41">
        <v>108908100</v>
      </c>
      <c r="H183" s="18">
        <v>0</v>
      </c>
      <c r="I183" s="18">
        <v>0</v>
      </c>
      <c r="J183" s="18">
        <v>0</v>
      </c>
      <c r="K183" s="18">
        <v>0</v>
      </c>
      <c r="L183" s="157">
        <v>0</v>
      </c>
      <c r="M183" s="51">
        <f t="shared" si="6"/>
        <v>108908100</v>
      </c>
      <c r="N183" s="52">
        <f t="shared" si="7"/>
        <v>1</v>
      </c>
    </row>
    <row r="184" spans="1:14">
      <c r="A184" s="149" t="s">
        <v>161</v>
      </c>
      <c r="B184" s="17" t="s">
        <v>162</v>
      </c>
      <c r="C184" s="18">
        <v>108908100</v>
      </c>
      <c r="D184" s="18">
        <v>108908100</v>
      </c>
      <c r="E184" s="37" t="s">
        <v>318</v>
      </c>
      <c r="F184" s="18">
        <v>0</v>
      </c>
      <c r="G184" s="41">
        <v>108908100</v>
      </c>
      <c r="H184" s="18">
        <v>0</v>
      </c>
      <c r="I184" s="18">
        <v>0</v>
      </c>
      <c r="J184" s="18">
        <v>0</v>
      </c>
      <c r="K184" s="18">
        <v>0</v>
      </c>
      <c r="L184" s="157">
        <v>0</v>
      </c>
      <c r="M184" s="51">
        <f t="shared" si="6"/>
        <v>108908100</v>
      </c>
      <c r="N184" s="52">
        <f t="shared" si="7"/>
        <v>1</v>
      </c>
    </row>
    <row r="185" spans="1:14">
      <c r="A185" s="147" t="s">
        <v>163</v>
      </c>
      <c r="B185" s="9" t="s">
        <v>164</v>
      </c>
      <c r="C185" s="11">
        <v>487837200</v>
      </c>
      <c r="D185" s="11">
        <v>487837200</v>
      </c>
      <c r="E185" s="36">
        <v>252431030</v>
      </c>
      <c r="F185" s="11">
        <v>38592076</v>
      </c>
      <c r="G185" s="11">
        <v>46172598</v>
      </c>
      <c r="H185" s="11">
        <v>51732000</v>
      </c>
      <c r="I185" s="11">
        <v>39050000</v>
      </c>
      <c r="J185" s="11">
        <v>40174200</v>
      </c>
      <c r="K185" s="11">
        <v>49400000</v>
      </c>
      <c r="L185" s="155">
        <v>37100000</v>
      </c>
      <c r="M185" s="51">
        <f t="shared" si="6"/>
        <v>302220874</v>
      </c>
      <c r="N185" s="52">
        <f t="shared" si="7"/>
        <v>0.61951174285191868</v>
      </c>
    </row>
    <row r="186" spans="1:14">
      <c r="A186" s="149" t="s">
        <v>165</v>
      </c>
      <c r="B186" s="17" t="s">
        <v>166</v>
      </c>
      <c r="C186" s="18">
        <v>90000000</v>
      </c>
      <c r="D186" s="18">
        <v>90000000</v>
      </c>
      <c r="E186" s="37">
        <v>38231030</v>
      </c>
      <c r="F186" s="18">
        <v>7500000</v>
      </c>
      <c r="G186" s="18">
        <v>7500000</v>
      </c>
      <c r="H186" s="18">
        <v>7500000</v>
      </c>
      <c r="I186" s="18">
        <v>7500000</v>
      </c>
      <c r="J186" s="18">
        <v>7500000</v>
      </c>
      <c r="K186" s="18">
        <v>7500000</v>
      </c>
      <c r="L186" s="157">
        <v>7500000</v>
      </c>
      <c r="M186" s="51">
        <f t="shared" si="6"/>
        <v>52500000</v>
      </c>
      <c r="N186" s="52">
        <f t="shared" si="7"/>
        <v>0.58333333333333337</v>
      </c>
    </row>
    <row r="187" spans="1:14">
      <c r="A187" s="150" t="s">
        <v>24</v>
      </c>
      <c r="B187" s="19" t="s">
        <v>25</v>
      </c>
      <c r="C187" s="21">
        <v>90000000</v>
      </c>
      <c r="D187" s="21">
        <v>90000000</v>
      </c>
      <c r="E187" s="46">
        <v>38231030</v>
      </c>
      <c r="F187" s="21">
        <v>7500000</v>
      </c>
      <c r="G187" s="21">
        <v>7500000</v>
      </c>
      <c r="H187" s="21">
        <v>7500000</v>
      </c>
      <c r="I187" s="21">
        <v>7500000</v>
      </c>
      <c r="J187" s="21">
        <v>7500000</v>
      </c>
      <c r="K187" s="21">
        <v>7500000</v>
      </c>
      <c r="L187" s="163">
        <v>7500000</v>
      </c>
      <c r="M187" s="51">
        <f t="shared" si="6"/>
        <v>52500000</v>
      </c>
      <c r="N187" s="52">
        <f t="shared" si="7"/>
        <v>0.58333333333333337</v>
      </c>
    </row>
    <row r="188" spans="1:14">
      <c r="A188" s="151" t="s">
        <v>36</v>
      </c>
      <c r="B188" s="23" t="s">
        <v>37</v>
      </c>
      <c r="C188" s="25">
        <v>90000000</v>
      </c>
      <c r="D188" s="25">
        <v>90000000</v>
      </c>
      <c r="E188" s="42">
        <v>38231030</v>
      </c>
      <c r="F188" s="25">
        <v>7500000</v>
      </c>
      <c r="G188" s="25">
        <v>7500000</v>
      </c>
      <c r="H188" s="25">
        <v>7500000</v>
      </c>
      <c r="I188" s="25">
        <v>7500000</v>
      </c>
      <c r="J188" s="25">
        <v>7500000</v>
      </c>
      <c r="K188" s="25">
        <v>7500000</v>
      </c>
      <c r="L188" s="160">
        <v>7500000</v>
      </c>
      <c r="M188" s="51">
        <f t="shared" si="6"/>
        <v>52500000</v>
      </c>
      <c r="N188" s="52">
        <f t="shared" si="7"/>
        <v>0.58333333333333337</v>
      </c>
    </row>
    <row r="189" spans="1:14">
      <c r="A189" s="149" t="s">
        <v>38</v>
      </c>
      <c r="B189" s="17" t="s">
        <v>39</v>
      </c>
      <c r="C189" s="18">
        <v>90000000</v>
      </c>
      <c r="D189" s="18">
        <v>90000000</v>
      </c>
      <c r="E189" s="37">
        <v>38231030</v>
      </c>
      <c r="F189" s="18">
        <v>7500000</v>
      </c>
      <c r="G189" s="18">
        <v>7500000</v>
      </c>
      <c r="H189" s="18">
        <v>7500000</v>
      </c>
      <c r="I189" s="18">
        <v>7500000</v>
      </c>
      <c r="J189" s="18">
        <v>7500000</v>
      </c>
      <c r="K189" s="18">
        <v>7500000</v>
      </c>
      <c r="L189" s="157">
        <v>7500000</v>
      </c>
      <c r="M189" s="51">
        <f t="shared" si="6"/>
        <v>52500000</v>
      </c>
      <c r="N189" s="52">
        <f t="shared" si="7"/>
        <v>0.58333333333333337</v>
      </c>
    </row>
    <row r="190" spans="1:14">
      <c r="A190" s="149" t="s">
        <v>167</v>
      </c>
      <c r="B190" s="17" t="s">
        <v>168</v>
      </c>
      <c r="C190" s="18">
        <v>1200000</v>
      </c>
      <c r="D190" s="18">
        <v>1200000</v>
      </c>
      <c r="E190" s="37">
        <v>439600</v>
      </c>
      <c r="F190" s="39">
        <v>100000</v>
      </c>
      <c r="G190" s="39">
        <v>100000</v>
      </c>
      <c r="H190" s="39">
        <v>100000</v>
      </c>
      <c r="I190" s="39">
        <v>100000</v>
      </c>
      <c r="J190" s="39">
        <v>100000</v>
      </c>
      <c r="K190" s="41">
        <v>100000</v>
      </c>
      <c r="L190" s="157">
        <v>100000</v>
      </c>
      <c r="M190" s="51">
        <f t="shared" si="6"/>
        <v>700000</v>
      </c>
      <c r="N190" s="52">
        <f t="shared" si="7"/>
        <v>0.58333333333333337</v>
      </c>
    </row>
    <row r="191" spans="1:14">
      <c r="A191" s="149" t="s">
        <v>169</v>
      </c>
      <c r="B191" s="17" t="s">
        <v>170</v>
      </c>
      <c r="C191" s="18">
        <v>24000000</v>
      </c>
      <c r="D191" s="18">
        <v>24000000</v>
      </c>
      <c r="E191" s="37">
        <v>7480000</v>
      </c>
      <c r="F191" s="39">
        <v>2000000</v>
      </c>
      <c r="G191" s="39">
        <v>2000000</v>
      </c>
      <c r="H191" s="39">
        <v>2000000</v>
      </c>
      <c r="I191" s="39">
        <v>2000000</v>
      </c>
      <c r="J191" s="41">
        <v>2000000</v>
      </c>
      <c r="K191" s="41">
        <v>2000000</v>
      </c>
      <c r="L191" s="157">
        <v>2000000</v>
      </c>
      <c r="M191" s="51">
        <f t="shared" si="6"/>
        <v>14000000</v>
      </c>
      <c r="N191" s="52">
        <f t="shared" si="7"/>
        <v>0.58333333333333337</v>
      </c>
    </row>
    <row r="192" spans="1:14">
      <c r="A192" s="149" t="s">
        <v>171</v>
      </c>
      <c r="B192" s="17" t="s">
        <v>172</v>
      </c>
      <c r="C192" s="18">
        <v>64800000</v>
      </c>
      <c r="D192" s="18">
        <v>64800000</v>
      </c>
      <c r="E192" s="37">
        <v>30311430</v>
      </c>
      <c r="F192" s="39">
        <v>5400000</v>
      </c>
      <c r="G192" s="39">
        <v>5400000</v>
      </c>
      <c r="H192" s="39">
        <v>5400000</v>
      </c>
      <c r="I192" s="39">
        <v>5400000</v>
      </c>
      <c r="J192" s="39">
        <v>5400000</v>
      </c>
      <c r="K192" s="39">
        <v>5400000</v>
      </c>
      <c r="L192" s="157">
        <v>5400000</v>
      </c>
      <c r="M192" s="51">
        <f t="shared" si="6"/>
        <v>37800000</v>
      </c>
      <c r="N192" s="52">
        <f t="shared" si="7"/>
        <v>0.58333333333333337</v>
      </c>
    </row>
    <row r="193" spans="1:14">
      <c r="A193" s="149" t="s">
        <v>173</v>
      </c>
      <c r="B193" s="17" t="s">
        <v>174</v>
      </c>
      <c r="C193" s="18">
        <v>3000000</v>
      </c>
      <c r="D193" s="18">
        <v>3000000</v>
      </c>
      <c r="E193" s="37" t="s">
        <v>318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8">
        <v>3000000</v>
      </c>
      <c r="L193" s="157">
        <v>0</v>
      </c>
      <c r="M193" s="51">
        <f t="shared" si="6"/>
        <v>3000000</v>
      </c>
      <c r="N193" s="52">
        <f t="shared" si="7"/>
        <v>1</v>
      </c>
    </row>
    <row r="194" spans="1:14">
      <c r="A194" s="150" t="s">
        <v>24</v>
      </c>
      <c r="B194" s="19" t="s">
        <v>25</v>
      </c>
      <c r="C194" s="21">
        <v>3000000</v>
      </c>
      <c r="D194" s="21">
        <v>3000000</v>
      </c>
      <c r="E194" s="46" t="s">
        <v>318</v>
      </c>
      <c r="F194" s="21">
        <v>0</v>
      </c>
      <c r="G194" s="21">
        <v>0</v>
      </c>
      <c r="H194" s="21">
        <v>0</v>
      </c>
      <c r="I194" s="21">
        <v>0</v>
      </c>
      <c r="J194" s="21">
        <v>0</v>
      </c>
      <c r="K194" s="49">
        <v>3000000</v>
      </c>
      <c r="L194" s="163">
        <v>0</v>
      </c>
      <c r="M194" s="51">
        <f t="shared" si="6"/>
        <v>3000000</v>
      </c>
      <c r="N194" s="52">
        <f t="shared" si="7"/>
        <v>1</v>
      </c>
    </row>
    <row r="195" spans="1:14" ht="25.75">
      <c r="A195" s="151" t="s">
        <v>175</v>
      </c>
      <c r="B195" s="23" t="s">
        <v>176</v>
      </c>
      <c r="C195" s="25">
        <v>3000000</v>
      </c>
      <c r="D195" s="25">
        <v>3000000</v>
      </c>
      <c r="E195" s="42" t="s">
        <v>318</v>
      </c>
      <c r="F195" s="25">
        <v>0</v>
      </c>
      <c r="G195" s="25">
        <v>0</v>
      </c>
      <c r="H195" s="25">
        <v>0</v>
      </c>
      <c r="I195" s="25">
        <v>0</v>
      </c>
      <c r="J195" s="25">
        <v>0</v>
      </c>
      <c r="K195" s="45">
        <v>3000000</v>
      </c>
      <c r="L195" s="160">
        <v>0</v>
      </c>
      <c r="M195" s="51">
        <f t="shared" si="6"/>
        <v>3000000</v>
      </c>
      <c r="N195" s="52">
        <f t="shared" si="7"/>
        <v>1</v>
      </c>
    </row>
    <row r="196" spans="1:14" ht="25.75">
      <c r="A196" s="149" t="s">
        <v>177</v>
      </c>
      <c r="B196" s="17" t="s">
        <v>178</v>
      </c>
      <c r="C196" s="18">
        <v>3000000</v>
      </c>
      <c r="D196" s="18">
        <v>3000000</v>
      </c>
      <c r="E196" s="37" t="s">
        <v>318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41">
        <v>3000000</v>
      </c>
      <c r="L196" s="157">
        <v>0</v>
      </c>
      <c r="M196" s="51">
        <f t="shared" si="6"/>
        <v>3000000</v>
      </c>
      <c r="N196" s="52">
        <f t="shared" si="7"/>
        <v>1</v>
      </c>
    </row>
    <row r="197" spans="1:14">
      <c r="A197" s="149" t="s">
        <v>179</v>
      </c>
      <c r="B197" s="17" t="s">
        <v>180</v>
      </c>
      <c r="C197" s="18">
        <v>3000000</v>
      </c>
      <c r="D197" s="18">
        <v>3000000</v>
      </c>
      <c r="E197" s="37" t="s">
        <v>318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41">
        <v>3000000</v>
      </c>
      <c r="L197" s="157">
        <v>0</v>
      </c>
      <c r="M197" s="51">
        <f t="shared" si="6"/>
        <v>3000000</v>
      </c>
      <c r="N197" s="52">
        <f t="shared" si="7"/>
        <v>1</v>
      </c>
    </row>
    <row r="198" spans="1:14">
      <c r="A198" s="149" t="s">
        <v>181</v>
      </c>
      <c r="B198" s="17" t="s">
        <v>182</v>
      </c>
      <c r="C198" s="18">
        <v>394837200</v>
      </c>
      <c r="D198" s="18">
        <v>394837200</v>
      </c>
      <c r="E198" s="37">
        <v>214200000</v>
      </c>
      <c r="F198" s="18">
        <v>31092076</v>
      </c>
      <c r="G198" s="18">
        <v>38672598</v>
      </c>
      <c r="H198" s="18">
        <v>44232000</v>
      </c>
      <c r="I198" s="18">
        <v>31550000</v>
      </c>
      <c r="J198" s="18">
        <v>32674200</v>
      </c>
      <c r="K198" s="18">
        <v>38900000</v>
      </c>
      <c r="L198" s="157">
        <v>29600000</v>
      </c>
      <c r="M198" s="51">
        <f t="shared" si="6"/>
        <v>246720874</v>
      </c>
      <c r="N198" s="52">
        <f t="shared" si="7"/>
        <v>0.6248673478588137</v>
      </c>
    </row>
    <row r="199" spans="1:14">
      <c r="A199" s="150" t="s">
        <v>24</v>
      </c>
      <c r="B199" s="19" t="s">
        <v>25</v>
      </c>
      <c r="C199" s="21">
        <v>394837200</v>
      </c>
      <c r="D199" s="21">
        <v>394837200</v>
      </c>
      <c r="E199" s="46">
        <v>214200000</v>
      </c>
      <c r="F199" s="21">
        <v>31092076</v>
      </c>
      <c r="G199" s="21">
        <v>38672598</v>
      </c>
      <c r="H199" s="21">
        <v>44232000</v>
      </c>
      <c r="I199" s="21">
        <v>31550000</v>
      </c>
      <c r="J199" s="21">
        <v>32674200</v>
      </c>
      <c r="K199" s="21">
        <v>38900000</v>
      </c>
      <c r="L199" s="163">
        <v>29600000</v>
      </c>
      <c r="M199" s="51">
        <f t="shared" si="6"/>
        <v>246720874</v>
      </c>
      <c r="N199" s="52">
        <f t="shared" si="7"/>
        <v>0.6248673478588137</v>
      </c>
    </row>
    <row r="200" spans="1:14">
      <c r="A200" s="151" t="s">
        <v>26</v>
      </c>
      <c r="B200" s="23" t="s">
        <v>27</v>
      </c>
      <c r="C200" s="25">
        <v>7337200</v>
      </c>
      <c r="D200" s="25">
        <v>7337200</v>
      </c>
      <c r="E200" s="42" t="s">
        <v>318</v>
      </c>
      <c r="F200" s="45">
        <v>3156076</v>
      </c>
      <c r="G200" s="45">
        <v>3040598</v>
      </c>
      <c r="H200" s="25">
        <v>0</v>
      </c>
      <c r="I200" s="25">
        <v>0</v>
      </c>
      <c r="J200" s="25">
        <v>724200</v>
      </c>
      <c r="K200" s="25">
        <v>300000</v>
      </c>
      <c r="L200" s="160">
        <v>0</v>
      </c>
      <c r="M200" s="51">
        <f t="shared" si="6"/>
        <v>7220874</v>
      </c>
      <c r="N200" s="52">
        <f t="shared" si="7"/>
        <v>0.98414572316414983</v>
      </c>
    </row>
    <row r="201" spans="1:14">
      <c r="A201" s="149" t="s">
        <v>28</v>
      </c>
      <c r="B201" s="17" t="s">
        <v>29</v>
      </c>
      <c r="C201" s="18">
        <v>7337200</v>
      </c>
      <c r="D201" s="18">
        <v>7337200</v>
      </c>
      <c r="E201" s="37" t="s">
        <v>318</v>
      </c>
      <c r="F201" s="41">
        <v>3156076</v>
      </c>
      <c r="G201" s="41">
        <v>3040598</v>
      </c>
      <c r="H201" s="18">
        <v>0</v>
      </c>
      <c r="I201" s="18">
        <v>0</v>
      </c>
      <c r="J201" s="41">
        <v>724200</v>
      </c>
      <c r="K201" s="18">
        <v>300000</v>
      </c>
      <c r="L201" s="157">
        <v>0</v>
      </c>
      <c r="M201" s="51">
        <f t="shared" si="6"/>
        <v>7220874</v>
      </c>
      <c r="N201" s="52">
        <f t="shared" si="7"/>
        <v>0.98414572316414983</v>
      </c>
    </row>
    <row r="202" spans="1:14">
      <c r="A202" s="149" t="s">
        <v>30</v>
      </c>
      <c r="B202" s="17" t="s">
        <v>31</v>
      </c>
      <c r="C202" s="18">
        <v>3974000</v>
      </c>
      <c r="D202" s="18">
        <v>3974000</v>
      </c>
      <c r="E202" s="37" t="s">
        <v>318</v>
      </c>
      <c r="F202" s="41">
        <v>1836576</v>
      </c>
      <c r="G202" s="41">
        <v>1721098</v>
      </c>
      <c r="H202" s="18">
        <v>0</v>
      </c>
      <c r="I202" s="18">
        <v>0</v>
      </c>
      <c r="J202" s="18">
        <v>0</v>
      </c>
      <c r="K202" s="18">
        <v>300000</v>
      </c>
      <c r="L202" s="157">
        <v>0</v>
      </c>
      <c r="M202" s="51">
        <f t="shared" si="6"/>
        <v>3857674</v>
      </c>
      <c r="N202" s="52">
        <f t="shared" si="7"/>
        <v>0.97072823351786608</v>
      </c>
    </row>
    <row r="203" spans="1:14">
      <c r="A203" s="149" t="s">
        <v>32</v>
      </c>
      <c r="B203" s="17" t="s">
        <v>33</v>
      </c>
      <c r="C203" s="18">
        <v>2639000</v>
      </c>
      <c r="D203" s="18">
        <v>2639000</v>
      </c>
      <c r="E203" s="37" t="s">
        <v>318</v>
      </c>
      <c r="F203" s="41">
        <v>1319500</v>
      </c>
      <c r="G203" s="41">
        <v>1319500</v>
      </c>
      <c r="H203" s="18">
        <v>0</v>
      </c>
      <c r="I203" s="18">
        <v>0</v>
      </c>
      <c r="J203" s="18">
        <v>0</v>
      </c>
      <c r="K203" s="18">
        <v>0</v>
      </c>
      <c r="L203" s="157">
        <v>0</v>
      </c>
      <c r="M203" s="51">
        <f t="shared" si="6"/>
        <v>2639000</v>
      </c>
      <c r="N203" s="52">
        <f t="shared" si="7"/>
        <v>1</v>
      </c>
    </row>
    <row r="204" spans="1:14">
      <c r="A204" s="149" t="s">
        <v>34</v>
      </c>
      <c r="B204" s="17" t="s">
        <v>35</v>
      </c>
      <c r="C204" s="18">
        <v>724200</v>
      </c>
      <c r="D204" s="18">
        <v>724200</v>
      </c>
      <c r="E204" s="37" t="s">
        <v>318</v>
      </c>
      <c r="F204" s="18">
        <v>0</v>
      </c>
      <c r="G204" s="18">
        <v>0</v>
      </c>
      <c r="H204" s="18">
        <v>0</v>
      </c>
      <c r="I204" s="18">
        <v>0</v>
      </c>
      <c r="J204" s="41">
        <v>724200</v>
      </c>
      <c r="K204" s="18">
        <v>0</v>
      </c>
      <c r="L204" s="157">
        <v>0</v>
      </c>
      <c r="M204" s="51">
        <f t="shared" si="6"/>
        <v>724200</v>
      </c>
      <c r="N204" s="52">
        <f t="shared" si="7"/>
        <v>1</v>
      </c>
    </row>
    <row r="205" spans="1:14">
      <c r="A205" s="151" t="s">
        <v>36</v>
      </c>
      <c r="B205" s="23" t="s">
        <v>37</v>
      </c>
      <c r="C205" s="25">
        <v>387500000</v>
      </c>
      <c r="D205" s="25">
        <v>387500000</v>
      </c>
      <c r="E205" s="42">
        <v>214200000</v>
      </c>
      <c r="F205" s="25">
        <v>27936000</v>
      </c>
      <c r="G205" s="25">
        <v>35632000</v>
      </c>
      <c r="H205" s="25">
        <v>44232000</v>
      </c>
      <c r="I205" s="25">
        <v>31550000</v>
      </c>
      <c r="J205" s="25">
        <v>31950000</v>
      </c>
      <c r="K205" s="25">
        <v>38600000</v>
      </c>
      <c r="L205" s="160">
        <v>29600000</v>
      </c>
      <c r="M205" s="51">
        <f t="shared" si="6"/>
        <v>239500000</v>
      </c>
      <c r="N205" s="52">
        <f t="shared" si="7"/>
        <v>0.61806451612903224</v>
      </c>
    </row>
    <row r="206" spans="1:14">
      <c r="A206" s="149" t="s">
        <v>38</v>
      </c>
      <c r="B206" s="17" t="s">
        <v>39</v>
      </c>
      <c r="C206" s="18">
        <v>387500000</v>
      </c>
      <c r="D206" s="18">
        <v>387500000</v>
      </c>
      <c r="E206" s="37">
        <v>214200000</v>
      </c>
      <c r="F206" s="18">
        <v>27936000</v>
      </c>
      <c r="G206" s="18">
        <v>35632000</v>
      </c>
      <c r="H206" s="18">
        <v>44232000</v>
      </c>
      <c r="I206" s="18">
        <v>31550000</v>
      </c>
      <c r="J206" s="18">
        <v>31950000</v>
      </c>
      <c r="K206" s="18">
        <v>38600000</v>
      </c>
      <c r="L206" s="157">
        <v>29600000</v>
      </c>
      <c r="M206" s="51">
        <f t="shared" si="6"/>
        <v>239500000</v>
      </c>
      <c r="N206" s="52">
        <f t="shared" si="7"/>
        <v>0.61806451612903224</v>
      </c>
    </row>
    <row r="207" spans="1:14">
      <c r="A207" s="149" t="s">
        <v>183</v>
      </c>
      <c r="B207" s="17" t="s">
        <v>184</v>
      </c>
      <c r="C207" s="18">
        <v>44000000</v>
      </c>
      <c r="D207" s="18">
        <v>44000000</v>
      </c>
      <c r="E207" s="37">
        <v>14300000</v>
      </c>
      <c r="F207" s="18">
        <v>0</v>
      </c>
      <c r="G207" s="18">
        <v>0</v>
      </c>
      <c r="H207" s="39">
        <v>4400000</v>
      </c>
      <c r="I207" s="39">
        <v>4400000</v>
      </c>
      <c r="J207" s="39">
        <v>4400000</v>
      </c>
      <c r="K207" s="39">
        <v>4400000</v>
      </c>
      <c r="L207" s="157">
        <v>4400000</v>
      </c>
      <c r="M207" s="51">
        <f t="shared" si="6"/>
        <v>22000000</v>
      </c>
      <c r="N207" s="52">
        <f t="shared" si="7"/>
        <v>0.5</v>
      </c>
    </row>
    <row r="208" spans="1:14">
      <c r="A208" s="149" t="s">
        <v>185</v>
      </c>
      <c r="B208" s="17" t="s">
        <v>186</v>
      </c>
      <c r="C208" s="18">
        <v>22000000</v>
      </c>
      <c r="D208" s="18">
        <v>22000000</v>
      </c>
      <c r="E208" s="37">
        <v>8800000</v>
      </c>
      <c r="F208" s="18">
        <v>0</v>
      </c>
      <c r="G208" s="18">
        <v>0</v>
      </c>
      <c r="H208" s="39">
        <v>2200000</v>
      </c>
      <c r="I208" s="39">
        <v>2200000</v>
      </c>
      <c r="J208" s="39">
        <v>2200000</v>
      </c>
      <c r="K208" s="39">
        <v>2200000</v>
      </c>
      <c r="L208" s="157">
        <v>2200000</v>
      </c>
      <c r="M208" s="51">
        <f t="shared" si="6"/>
        <v>11000000</v>
      </c>
      <c r="N208" s="52">
        <f t="shared" si="7"/>
        <v>0.5</v>
      </c>
    </row>
    <row r="209" spans="1:14">
      <c r="A209" s="149" t="s">
        <v>187</v>
      </c>
      <c r="B209" s="17" t="s">
        <v>188</v>
      </c>
      <c r="C209" s="18">
        <v>22000000</v>
      </c>
      <c r="D209" s="18">
        <v>22000000</v>
      </c>
      <c r="E209" s="37">
        <v>8800000</v>
      </c>
      <c r="F209" s="18">
        <v>0</v>
      </c>
      <c r="G209" s="18">
        <v>0</v>
      </c>
      <c r="H209" s="39">
        <v>2200000</v>
      </c>
      <c r="I209" s="39">
        <v>2200000</v>
      </c>
      <c r="J209" s="39">
        <v>2200000</v>
      </c>
      <c r="K209" s="39">
        <v>2200000</v>
      </c>
      <c r="L209" s="157">
        <v>2200000</v>
      </c>
      <c r="M209" s="51">
        <f t="shared" si="6"/>
        <v>11000000</v>
      </c>
      <c r="N209" s="52">
        <f t="shared" si="7"/>
        <v>0.5</v>
      </c>
    </row>
    <row r="210" spans="1:14">
      <c r="A210" s="149" t="s">
        <v>40</v>
      </c>
      <c r="B210" s="17" t="s">
        <v>41</v>
      </c>
      <c r="C210" s="18">
        <v>1200000</v>
      </c>
      <c r="D210" s="18">
        <v>1200000</v>
      </c>
      <c r="E210" s="37" t="s">
        <v>318</v>
      </c>
      <c r="F210" s="18">
        <v>0</v>
      </c>
      <c r="G210" s="18">
        <v>0</v>
      </c>
      <c r="H210" s="41">
        <v>1200000</v>
      </c>
      <c r="I210" s="18">
        <v>0</v>
      </c>
      <c r="J210" s="18">
        <v>0</v>
      </c>
      <c r="K210" s="18">
        <v>0</v>
      </c>
      <c r="L210" s="157">
        <v>0</v>
      </c>
      <c r="M210" s="51">
        <f t="shared" si="6"/>
        <v>1200000</v>
      </c>
      <c r="N210" s="52">
        <f t="shared" si="7"/>
        <v>1</v>
      </c>
    </row>
    <row r="211" spans="1:14" ht="25.75">
      <c r="A211" s="149" t="s">
        <v>189</v>
      </c>
      <c r="B211" s="17" t="s">
        <v>190</v>
      </c>
      <c r="C211" s="18">
        <v>8600000</v>
      </c>
      <c r="D211" s="18">
        <v>8600000</v>
      </c>
      <c r="E211" s="37">
        <v>7600000</v>
      </c>
      <c r="F211" s="39">
        <v>2200000</v>
      </c>
      <c r="G211" s="39">
        <v>2200000</v>
      </c>
      <c r="H211" s="39">
        <v>4200000</v>
      </c>
      <c r="I211" s="18">
        <v>0</v>
      </c>
      <c r="J211" s="18">
        <v>0</v>
      </c>
      <c r="K211" s="18">
        <v>0</v>
      </c>
      <c r="L211" s="157">
        <v>0</v>
      </c>
      <c r="M211" s="51">
        <f t="shared" si="6"/>
        <v>8600000</v>
      </c>
      <c r="N211" s="52">
        <f t="shared" si="7"/>
        <v>1</v>
      </c>
    </row>
    <row r="212" spans="1:14" ht="38.6">
      <c r="A212" s="149" t="s">
        <v>191</v>
      </c>
      <c r="B212" s="17" t="s">
        <v>192</v>
      </c>
      <c r="C212" s="18">
        <v>26000000</v>
      </c>
      <c r="D212" s="18">
        <v>26000000</v>
      </c>
      <c r="E212" s="37">
        <v>16000000</v>
      </c>
      <c r="F212" s="39">
        <v>2000000</v>
      </c>
      <c r="G212" s="39">
        <v>3000000</v>
      </c>
      <c r="H212" s="39">
        <v>2000000</v>
      </c>
      <c r="I212" s="39">
        <v>2000000</v>
      </c>
      <c r="J212" s="39">
        <v>2000000</v>
      </c>
      <c r="K212" s="39">
        <v>3000000</v>
      </c>
      <c r="L212" s="164">
        <v>2000000</v>
      </c>
      <c r="M212" s="51">
        <f t="shared" si="6"/>
        <v>16000000</v>
      </c>
      <c r="N212" s="52">
        <f t="shared" si="7"/>
        <v>0.61538461538461542</v>
      </c>
    </row>
    <row r="213" spans="1:14" ht="38.6">
      <c r="A213" s="149" t="s">
        <v>193</v>
      </c>
      <c r="B213" s="17" t="s">
        <v>194</v>
      </c>
      <c r="C213" s="18">
        <v>148600000</v>
      </c>
      <c r="D213" s="18">
        <v>148600000</v>
      </c>
      <c r="E213" s="37">
        <v>88100000</v>
      </c>
      <c r="F213" s="39">
        <v>13536000</v>
      </c>
      <c r="G213" s="39">
        <v>21532000</v>
      </c>
      <c r="H213" s="39">
        <v>15632000</v>
      </c>
      <c r="I213" s="39">
        <v>11850000</v>
      </c>
      <c r="J213" s="39">
        <v>12250000</v>
      </c>
      <c r="K213" s="39">
        <v>14400000</v>
      </c>
      <c r="L213" s="157">
        <v>9900000</v>
      </c>
      <c r="M213" s="51">
        <f t="shared" si="6"/>
        <v>99100000</v>
      </c>
      <c r="N213" s="52">
        <f t="shared" si="7"/>
        <v>0.66689098250336476</v>
      </c>
    </row>
    <row r="214" spans="1:14" ht="38.6">
      <c r="A214" s="149" t="s">
        <v>195</v>
      </c>
      <c r="B214" s="17" t="s">
        <v>196</v>
      </c>
      <c r="C214" s="18">
        <v>30800000</v>
      </c>
      <c r="D214" s="18">
        <v>30800000</v>
      </c>
      <c r="E214" s="37">
        <v>18800000</v>
      </c>
      <c r="F214" s="39">
        <v>2400000</v>
      </c>
      <c r="G214" s="39">
        <v>2400000</v>
      </c>
      <c r="H214" s="39">
        <v>3400000</v>
      </c>
      <c r="I214" s="39">
        <v>2400000</v>
      </c>
      <c r="J214" s="39">
        <v>2400000</v>
      </c>
      <c r="K214" s="39">
        <v>3400000</v>
      </c>
      <c r="L214" s="164">
        <v>2400000</v>
      </c>
      <c r="M214" s="51">
        <f t="shared" si="6"/>
        <v>18800000</v>
      </c>
      <c r="N214" s="52">
        <f t="shared" si="7"/>
        <v>0.61038961038961037</v>
      </c>
    </row>
    <row r="215" spans="1:14" ht="25.75">
      <c r="A215" s="149" t="s">
        <v>197</v>
      </c>
      <c r="B215" s="17" t="s">
        <v>198</v>
      </c>
      <c r="C215" s="18">
        <v>84300000</v>
      </c>
      <c r="D215" s="18">
        <v>84300000</v>
      </c>
      <c r="E215" s="37">
        <v>51800000</v>
      </c>
      <c r="F215" s="39">
        <v>7800000</v>
      </c>
      <c r="G215" s="39">
        <v>6500000</v>
      </c>
      <c r="H215" s="39">
        <v>9000000</v>
      </c>
      <c r="I215" s="39">
        <v>6500000</v>
      </c>
      <c r="J215" s="39">
        <v>6500000</v>
      </c>
      <c r="K215" s="39">
        <v>9000000</v>
      </c>
      <c r="L215" s="164">
        <v>6500000</v>
      </c>
      <c r="M215" s="51">
        <f t="shared" si="6"/>
        <v>51800000</v>
      </c>
      <c r="N215" s="52">
        <f t="shared" si="7"/>
        <v>0.61447212336892054</v>
      </c>
    </row>
    <row r="216" spans="1:14" ht="25.75">
      <c r="A216" s="147" t="s">
        <v>199</v>
      </c>
      <c r="B216" s="9" t="s">
        <v>200</v>
      </c>
      <c r="C216" s="11">
        <v>249610000</v>
      </c>
      <c r="D216" s="11">
        <v>249610000</v>
      </c>
      <c r="E216" s="36">
        <v>89694976</v>
      </c>
      <c r="F216" s="11">
        <v>15300000</v>
      </c>
      <c r="G216" s="11">
        <v>15300000</v>
      </c>
      <c r="H216" s="11">
        <v>28800000</v>
      </c>
      <c r="I216" s="11">
        <v>37400000</v>
      </c>
      <c r="J216" s="11">
        <v>15300000</v>
      </c>
      <c r="K216" s="11">
        <v>16150000</v>
      </c>
      <c r="L216" s="155">
        <v>38990000</v>
      </c>
      <c r="M216" s="51">
        <f t="shared" si="6"/>
        <v>167240000</v>
      </c>
      <c r="N216" s="52">
        <f t="shared" si="7"/>
        <v>0.67000520812467446</v>
      </c>
    </row>
    <row r="217" spans="1:14" ht="25.75">
      <c r="A217" s="149" t="s">
        <v>201</v>
      </c>
      <c r="B217" s="17" t="s">
        <v>202</v>
      </c>
      <c r="C217" s="18">
        <v>210320000</v>
      </c>
      <c r="D217" s="18">
        <v>210320000</v>
      </c>
      <c r="E217" s="37">
        <v>89694976</v>
      </c>
      <c r="F217" s="18">
        <v>15300000</v>
      </c>
      <c r="G217" s="18">
        <v>15300000</v>
      </c>
      <c r="H217" s="18">
        <v>15300000</v>
      </c>
      <c r="I217" s="18">
        <v>25300000</v>
      </c>
      <c r="J217" s="18">
        <v>15300000</v>
      </c>
      <c r="K217" s="18">
        <v>16150000</v>
      </c>
      <c r="L217" s="157">
        <v>25300000</v>
      </c>
      <c r="M217" s="51">
        <f t="shared" si="6"/>
        <v>127950000</v>
      </c>
      <c r="N217" s="52">
        <f t="shared" si="7"/>
        <v>0.60835869151768729</v>
      </c>
    </row>
    <row r="218" spans="1:14">
      <c r="A218" s="150" t="s">
        <v>24</v>
      </c>
      <c r="B218" s="19" t="s">
        <v>25</v>
      </c>
      <c r="C218" s="21">
        <v>210320000</v>
      </c>
      <c r="D218" s="21">
        <v>210320000</v>
      </c>
      <c r="E218" s="46">
        <v>89694976</v>
      </c>
      <c r="F218" s="21">
        <v>15300000</v>
      </c>
      <c r="G218" s="21">
        <v>15300000</v>
      </c>
      <c r="H218" s="21">
        <v>15300000</v>
      </c>
      <c r="I218" s="21">
        <v>25300000</v>
      </c>
      <c r="J218" s="21">
        <v>15300000</v>
      </c>
      <c r="K218" s="21">
        <v>16150000</v>
      </c>
      <c r="L218" s="163">
        <v>25300000</v>
      </c>
      <c r="M218" s="51">
        <f t="shared" si="6"/>
        <v>127950000</v>
      </c>
      <c r="N218" s="52">
        <f t="shared" si="7"/>
        <v>0.60835869151768729</v>
      </c>
    </row>
    <row r="219" spans="1:14">
      <c r="A219" s="151" t="s">
        <v>36</v>
      </c>
      <c r="B219" s="23" t="s">
        <v>37</v>
      </c>
      <c r="C219" s="25">
        <v>25870000</v>
      </c>
      <c r="D219" s="25">
        <v>25870000</v>
      </c>
      <c r="E219" s="42">
        <v>1115324</v>
      </c>
      <c r="F219" s="25">
        <v>0</v>
      </c>
      <c r="G219" s="25">
        <v>0</v>
      </c>
      <c r="H219" s="25">
        <v>0</v>
      </c>
      <c r="I219" s="25">
        <v>10000000</v>
      </c>
      <c r="J219" s="25">
        <v>0</v>
      </c>
      <c r="K219" s="25">
        <v>0</v>
      </c>
      <c r="L219" s="160">
        <v>10000000</v>
      </c>
      <c r="M219" s="51">
        <f t="shared" si="6"/>
        <v>20000000</v>
      </c>
      <c r="N219" s="52">
        <f t="shared" si="7"/>
        <v>0.7730962504831852</v>
      </c>
    </row>
    <row r="220" spans="1:14">
      <c r="A220" s="149" t="s">
        <v>38</v>
      </c>
      <c r="B220" s="17" t="s">
        <v>39</v>
      </c>
      <c r="C220" s="18">
        <v>25870000</v>
      </c>
      <c r="D220" s="18">
        <v>25870000</v>
      </c>
      <c r="E220" s="37">
        <v>1115324</v>
      </c>
      <c r="F220" s="18">
        <v>0</v>
      </c>
      <c r="G220" s="18">
        <v>0</v>
      </c>
      <c r="H220" s="18">
        <v>0</v>
      </c>
      <c r="I220" s="18">
        <v>10000000</v>
      </c>
      <c r="J220" s="18">
        <v>0</v>
      </c>
      <c r="K220" s="18">
        <v>0</v>
      </c>
      <c r="L220" s="157">
        <v>10000000</v>
      </c>
      <c r="M220" s="51">
        <f t="shared" si="6"/>
        <v>20000000</v>
      </c>
      <c r="N220" s="52">
        <f t="shared" si="7"/>
        <v>0.7730962504831852</v>
      </c>
    </row>
    <row r="221" spans="1:14">
      <c r="A221" s="149" t="s">
        <v>203</v>
      </c>
      <c r="B221" s="17" t="s">
        <v>204</v>
      </c>
      <c r="C221" s="18">
        <v>25870000</v>
      </c>
      <c r="D221" s="18">
        <v>25870000</v>
      </c>
      <c r="E221" s="37">
        <v>1115324</v>
      </c>
      <c r="F221" s="18">
        <v>0</v>
      </c>
      <c r="G221" s="18">
        <v>0</v>
      </c>
      <c r="H221" s="18">
        <v>0</v>
      </c>
      <c r="I221" s="40">
        <v>10000000</v>
      </c>
      <c r="J221" s="18">
        <v>0</v>
      </c>
      <c r="K221" s="18">
        <v>0</v>
      </c>
      <c r="L221" s="157">
        <v>10000000</v>
      </c>
      <c r="M221" s="51">
        <f t="shared" si="6"/>
        <v>20000000</v>
      </c>
      <c r="N221" s="52">
        <f t="shared" si="7"/>
        <v>0.7730962504831852</v>
      </c>
    </row>
    <row r="222" spans="1:14">
      <c r="A222" s="151" t="s">
        <v>205</v>
      </c>
      <c r="B222" s="23" t="s">
        <v>206</v>
      </c>
      <c r="C222" s="25">
        <v>184450000</v>
      </c>
      <c r="D222" s="25">
        <v>184450000</v>
      </c>
      <c r="E222" s="42">
        <v>88579652</v>
      </c>
      <c r="F222" s="25">
        <v>15300000</v>
      </c>
      <c r="G222" s="25">
        <v>15300000</v>
      </c>
      <c r="H222" s="25">
        <v>15300000</v>
      </c>
      <c r="I222" s="25">
        <v>15300000</v>
      </c>
      <c r="J222" s="25">
        <v>15300000</v>
      </c>
      <c r="K222" s="25">
        <v>16150000</v>
      </c>
      <c r="L222" s="160">
        <v>15300000</v>
      </c>
      <c r="M222" s="51">
        <f t="shared" si="6"/>
        <v>107950000</v>
      </c>
      <c r="N222" s="52">
        <f t="shared" si="7"/>
        <v>0.58525345622119818</v>
      </c>
    </row>
    <row r="223" spans="1:14">
      <c r="A223" s="149" t="s">
        <v>207</v>
      </c>
      <c r="B223" s="17" t="s">
        <v>208</v>
      </c>
      <c r="C223" s="18">
        <v>184450000</v>
      </c>
      <c r="D223" s="18">
        <v>184450000</v>
      </c>
      <c r="E223" s="37">
        <v>88579652</v>
      </c>
      <c r="F223" s="18">
        <v>15300000</v>
      </c>
      <c r="G223" s="18">
        <v>15300000</v>
      </c>
      <c r="H223" s="18">
        <v>15300000</v>
      </c>
      <c r="I223" s="18">
        <v>15300000</v>
      </c>
      <c r="J223" s="18">
        <v>15300000</v>
      </c>
      <c r="K223" s="18">
        <v>16150000</v>
      </c>
      <c r="L223" s="157">
        <v>15300000</v>
      </c>
      <c r="M223" s="51">
        <f t="shared" si="6"/>
        <v>107950000</v>
      </c>
      <c r="N223" s="52">
        <f t="shared" si="7"/>
        <v>0.58525345622119818</v>
      </c>
    </row>
    <row r="224" spans="1:14" ht="25.75">
      <c r="A224" s="149" t="s">
        <v>209</v>
      </c>
      <c r="B224" s="17" t="s">
        <v>210</v>
      </c>
      <c r="C224" s="18">
        <v>173350000</v>
      </c>
      <c r="D224" s="18">
        <v>173350000</v>
      </c>
      <c r="E224" s="37">
        <v>83431000</v>
      </c>
      <c r="F224" s="39">
        <v>14400000</v>
      </c>
      <c r="G224" s="39">
        <v>14400000</v>
      </c>
      <c r="H224" s="39">
        <v>14400000</v>
      </c>
      <c r="I224" s="39">
        <v>14400000</v>
      </c>
      <c r="J224" s="39">
        <v>14400000</v>
      </c>
      <c r="K224" s="40">
        <v>14950000</v>
      </c>
      <c r="L224" s="157">
        <v>14400000</v>
      </c>
      <c r="M224" s="51">
        <f t="shared" si="6"/>
        <v>101350000</v>
      </c>
      <c r="N224" s="52">
        <f t="shared" si="7"/>
        <v>0.58465532160369194</v>
      </c>
    </row>
    <row r="225" spans="1:14" ht="25.75">
      <c r="A225" s="149" t="s">
        <v>211</v>
      </c>
      <c r="B225" s="17" t="s">
        <v>212</v>
      </c>
      <c r="C225" s="18">
        <v>11100000</v>
      </c>
      <c r="D225" s="18">
        <v>11100000</v>
      </c>
      <c r="E225" s="37">
        <v>5148652</v>
      </c>
      <c r="F225" s="39">
        <v>900000</v>
      </c>
      <c r="G225" s="39">
        <v>900000</v>
      </c>
      <c r="H225" s="39">
        <v>900000</v>
      </c>
      <c r="I225" s="39">
        <v>900000</v>
      </c>
      <c r="J225" s="39">
        <v>900000</v>
      </c>
      <c r="K225" s="40">
        <v>1200000</v>
      </c>
      <c r="L225" s="157">
        <v>900000</v>
      </c>
      <c r="M225" s="51">
        <f t="shared" si="6"/>
        <v>6600000</v>
      </c>
      <c r="N225" s="52">
        <f t="shared" si="7"/>
        <v>0.59459459459459463</v>
      </c>
    </row>
    <row r="226" spans="1:14">
      <c r="A226" s="149" t="s">
        <v>213</v>
      </c>
      <c r="B226" s="17" t="s">
        <v>214</v>
      </c>
      <c r="C226" s="18">
        <v>29290000</v>
      </c>
      <c r="D226" s="18">
        <v>29290000</v>
      </c>
      <c r="E226" s="37" t="s">
        <v>318</v>
      </c>
      <c r="F226" s="18">
        <v>0</v>
      </c>
      <c r="G226" s="18">
        <v>0</v>
      </c>
      <c r="H226" s="18">
        <v>3500000</v>
      </c>
      <c r="I226" s="18">
        <v>12100000</v>
      </c>
      <c r="J226" s="18">
        <v>0</v>
      </c>
      <c r="K226" s="18">
        <v>0</v>
      </c>
      <c r="L226" s="157">
        <v>13690000</v>
      </c>
      <c r="M226" s="51">
        <f t="shared" si="6"/>
        <v>29290000</v>
      </c>
      <c r="N226" s="52">
        <f t="shared" si="7"/>
        <v>1</v>
      </c>
    </row>
    <row r="227" spans="1:14">
      <c r="A227" s="150" t="s">
        <v>24</v>
      </c>
      <c r="B227" s="19" t="s">
        <v>25</v>
      </c>
      <c r="C227" s="21">
        <v>29290000</v>
      </c>
      <c r="D227" s="21">
        <v>29290000</v>
      </c>
      <c r="E227" s="46" t="s">
        <v>318</v>
      </c>
      <c r="F227" s="21">
        <v>0</v>
      </c>
      <c r="G227" s="21">
        <v>0</v>
      </c>
      <c r="H227" s="21">
        <v>3500000</v>
      </c>
      <c r="I227" s="21">
        <v>12100000</v>
      </c>
      <c r="J227" s="21">
        <v>0</v>
      </c>
      <c r="K227" s="21">
        <v>0</v>
      </c>
      <c r="L227" s="163">
        <v>13690000</v>
      </c>
      <c r="M227" s="51">
        <f t="shared" si="6"/>
        <v>29290000</v>
      </c>
      <c r="N227" s="52">
        <f t="shared" si="7"/>
        <v>1</v>
      </c>
    </row>
    <row r="228" spans="1:14">
      <c r="A228" s="151" t="s">
        <v>205</v>
      </c>
      <c r="B228" s="23" t="s">
        <v>206</v>
      </c>
      <c r="C228" s="25">
        <v>29290000</v>
      </c>
      <c r="D228" s="25">
        <v>29290000</v>
      </c>
      <c r="E228" s="42" t="s">
        <v>318</v>
      </c>
      <c r="F228" s="25">
        <v>0</v>
      </c>
      <c r="G228" s="25">
        <v>0</v>
      </c>
      <c r="H228" s="25">
        <v>3500000</v>
      </c>
      <c r="I228" s="25">
        <v>12100000</v>
      </c>
      <c r="J228" s="25">
        <v>0</v>
      </c>
      <c r="K228" s="25">
        <v>0</v>
      </c>
      <c r="L228" s="160">
        <v>13690000</v>
      </c>
      <c r="M228" s="51">
        <f t="shared" si="6"/>
        <v>29290000</v>
      </c>
      <c r="N228" s="52">
        <f t="shared" si="7"/>
        <v>1</v>
      </c>
    </row>
    <row r="229" spans="1:14">
      <c r="A229" s="149" t="s">
        <v>207</v>
      </c>
      <c r="B229" s="17" t="s">
        <v>208</v>
      </c>
      <c r="C229" s="18">
        <v>29290000</v>
      </c>
      <c r="D229" s="18">
        <v>29290000</v>
      </c>
      <c r="E229" s="37" t="s">
        <v>318</v>
      </c>
      <c r="F229" s="18">
        <v>0</v>
      </c>
      <c r="G229" s="18">
        <v>0</v>
      </c>
      <c r="H229" s="18">
        <v>3500000</v>
      </c>
      <c r="I229" s="18">
        <v>12100000</v>
      </c>
      <c r="J229" s="18">
        <v>0</v>
      </c>
      <c r="K229" s="18">
        <v>0</v>
      </c>
      <c r="L229" s="157">
        <v>13690000</v>
      </c>
      <c r="M229" s="51">
        <f t="shared" si="6"/>
        <v>29290000</v>
      </c>
      <c r="N229" s="52">
        <f t="shared" si="7"/>
        <v>1</v>
      </c>
    </row>
    <row r="230" spans="1:14" ht="25.75">
      <c r="A230" s="149" t="s">
        <v>215</v>
      </c>
      <c r="B230" s="17" t="s">
        <v>216</v>
      </c>
      <c r="C230" s="18">
        <v>7190000</v>
      </c>
      <c r="D230" s="18">
        <v>7190000</v>
      </c>
      <c r="E230" s="37" t="s">
        <v>318</v>
      </c>
      <c r="F230" s="18">
        <v>0</v>
      </c>
      <c r="G230" s="18">
        <v>0</v>
      </c>
      <c r="H230" s="41">
        <v>3500000</v>
      </c>
      <c r="I230" s="18">
        <v>0</v>
      </c>
      <c r="J230" s="18">
        <v>0</v>
      </c>
      <c r="K230" s="18">
        <v>0</v>
      </c>
      <c r="L230" s="157">
        <v>3690000</v>
      </c>
      <c r="M230" s="51">
        <f t="shared" si="6"/>
        <v>7190000</v>
      </c>
      <c r="N230" s="52">
        <f t="shared" si="7"/>
        <v>1</v>
      </c>
    </row>
    <row r="231" spans="1:14" ht="25.75">
      <c r="A231" s="149" t="s">
        <v>217</v>
      </c>
      <c r="B231" s="17" t="s">
        <v>218</v>
      </c>
      <c r="C231" s="18">
        <v>500000</v>
      </c>
      <c r="D231" s="18">
        <v>500000</v>
      </c>
      <c r="E231" s="37" t="s">
        <v>318</v>
      </c>
      <c r="F231" s="18">
        <v>0</v>
      </c>
      <c r="G231" s="18">
        <v>0</v>
      </c>
      <c r="H231" s="18">
        <v>0</v>
      </c>
      <c r="I231" s="41">
        <v>500000</v>
      </c>
      <c r="J231" s="18">
        <v>0</v>
      </c>
      <c r="K231" s="18">
        <v>0</v>
      </c>
      <c r="L231" s="157">
        <v>0</v>
      </c>
      <c r="M231" s="51">
        <f t="shared" si="6"/>
        <v>500000</v>
      </c>
      <c r="N231" s="52">
        <f t="shared" si="7"/>
        <v>1</v>
      </c>
    </row>
    <row r="232" spans="1:14" ht="25.75">
      <c r="A232" s="149" t="s">
        <v>219</v>
      </c>
      <c r="B232" s="17" t="s">
        <v>220</v>
      </c>
      <c r="C232" s="18">
        <v>10500000</v>
      </c>
      <c r="D232" s="18">
        <v>10500000</v>
      </c>
      <c r="E232" s="37" t="s">
        <v>318</v>
      </c>
      <c r="F232" s="18">
        <v>0</v>
      </c>
      <c r="G232" s="18">
        <v>0</v>
      </c>
      <c r="H232" s="18">
        <v>0</v>
      </c>
      <c r="I232" s="41">
        <v>10500000</v>
      </c>
      <c r="J232" s="18">
        <v>0</v>
      </c>
      <c r="K232" s="18">
        <v>0</v>
      </c>
      <c r="L232" s="157">
        <v>0</v>
      </c>
      <c r="M232" s="51">
        <f t="shared" si="6"/>
        <v>10500000</v>
      </c>
      <c r="N232" s="52">
        <f t="shared" si="7"/>
        <v>1</v>
      </c>
    </row>
    <row r="233" spans="1:14" ht="25.75">
      <c r="A233" s="149" t="s">
        <v>221</v>
      </c>
      <c r="B233" s="17" t="s">
        <v>222</v>
      </c>
      <c r="C233" s="18">
        <v>10000000</v>
      </c>
      <c r="D233" s="18">
        <v>10000000</v>
      </c>
      <c r="E233" s="37" t="s">
        <v>318</v>
      </c>
      <c r="F233" s="18">
        <v>0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57">
        <v>10000000</v>
      </c>
      <c r="M233" s="51">
        <f t="shared" si="6"/>
        <v>10000000</v>
      </c>
      <c r="N233" s="52">
        <f t="shared" si="7"/>
        <v>1</v>
      </c>
    </row>
    <row r="234" spans="1:14" ht="25.75">
      <c r="A234" s="149" t="s">
        <v>223</v>
      </c>
      <c r="B234" s="17" t="s">
        <v>224</v>
      </c>
      <c r="C234" s="18">
        <v>1100000</v>
      </c>
      <c r="D234" s="18">
        <v>1100000</v>
      </c>
      <c r="E234" s="37" t="s">
        <v>318</v>
      </c>
      <c r="F234" s="18">
        <v>0</v>
      </c>
      <c r="G234" s="18">
        <v>0</v>
      </c>
      <c r="H234" s="18">
        <v>0</v>
      </c>
      <c r="I234" s="41">
        <v>1100000</v>
      </c>
      <c r="J234" s="18">
        <v>0</v>
      </c>
      <c r="K234" s="18">
        <v>0</v>
      </c>
      <c r="L234" s="157">
        <v>0</v>
      </c>
      <c r="M234" s="51">
        <f t="shared" si="6"/>
        <v>1100000</v>
      </c>
      <c r="N234" s="52">
        <f t="shared" si="7"/>
        <v>1</v>
      </c>
    </row>
    <row r="235" spans="1:14" ht="25.75">
      <c r="A235" s="149" t="s">
        <v>225</v>
      </c>
      <c r="B235" s="17" t="s">
        <v>226</v>
      </c>
      <c r="C235" s="18">
        <v>10000000</v>
      </c>
      <c r="D235" s="18">
        <v>10000000</v>
      </c>
      <c r="E235" s="37" t="s">
        <v>318</v>
      </c>
      <c r="F235" s="18">
        <v>0</v>
      </c>
      <c r="G235" s="18">
        <v>0</v>
      </c>
      <c r="H235" s="41">
        <v>10000000</v>
      </c>
      <c r="I235" s="18">
        <v>0</v>
      </c>
      <c r="J235" s="18">
        <v>0</v>
      </c>
      <c r="K235" s="18">
        <v>0</v>
      </c>
      <c r="L235" s="157">
        <v>0</v>
      </c>
      <c r="M235" s="51">
        <f t="shared" si="6"/>
        <v>10000000</v>
      </c>
      <c r="N235" s="52">
        <f t="shared" si="7"/>
        <v>1</v>
      </c>
    </row>
    <row r="236" spans="1:14">
      <c r="A236" s="150" t="s">
        <v>24</v>
      </c>
      <c r="B236" s="19" t="s">
        <v>25</v>
      </c>
      <c r="C236" s="21">
        <v>10000000</v>
      </c>
      <c r="D236" s="21">
        <v>10000000</v>
      </c>
      <c r="E236" s="46" t="s">
        <v>318</v>
      </c>
      <c r="F236" s="21">
        <v>0</v>
      </c>
      <c r="G236" s="21">
        <v>0</v>
      </c>
      <c r="H236" s="21">
        <v>10000000</v>
      </c>
      <c r="I236" s="21">
        <v>0</v>
      </c>
      <c r="J236" s="21">
        <v>0</v>
      </c>
      <c r="K236" s="21">
        <v>0</v>
      </c>
      <c r="L236" s="163">
        <v>0</v>
      </c>
      <c r="M236" s="51">
        <f t="shared" si="6"/>
        <v>10000000</v>
      </c>
      <c r="N236" s="52">
        <f t="shared" si="7"/>
        <v>1</v>
      </c>
    </row>
    <row r="237" spans="1:14">
      <c r="A237" s="151" t="s">
        <v>205</v>
      </c>
      <c r="B237" s="23" t="s">
        <v>206</v>
      </c>
      <c r="C237" s="25">
        <v>10000000</v>
      </c>
      <c r="D237" s="25">
        <v>10000000</v>
      </c>
      <c r="E237" s="42" t="s">
        <v>318</v>
      </c>
      <c r="F237" s="25">
        <v>0</v>
      </c>
      <c r="G237" s="25">
        <v>0</v>
      </c>
      <c r="H237" s="25">
        <v>10000000</v>
      </c>
      <c r="I237" s="25">
        <v>0</v>
      </c>
      <c r="J237" s="25">
        <v>0</v>
      </c>
      <c r="K237" s="25">
        <v>0</v>
      </c>
      <c r="L237" s="160">
        <v>0</v>
      </c>
      <c r="M237" s="51">
        <f t="shared" si="6"/>
        <v>10000000</v>
      </c>
      <c r="N237" s="52">
        <f t="shared" si="7"/>
        <v>1</v>
      </c>
    </row>
    <row r="238" spans="1:14">
      <c r="A238" s="149" t="s">
        <v>227</v>
      </c>
      <c r="B238" s="17" t="s">
        <v>228</v>
      </c>
      <c r="C238" s="18">
        <v>10000000</v>
      </c>
      <c r="D238" s="18">
        <v>10000000</v>
      </c>
      <c r="E238" s="37" t="s">
        <v>318</v>
      </c>
      <c r="F238" s="18">
        <v>0</v>
      </c>
      <c r="G238" s="18">
        <v>0</v>
      </c>
      <c r="H238" s="18">
        <v>10000000</v>
      </c>
      <c r="I238" s="18">
        <v>0</v>
      </c>
      <c r="J238" s="18">
        <v>0</v>
      </c>
      <c r="K238" s="18">
        <v>0</v>
      </c>
      <c r="L238" s="157">
        <v>0</v>
      </c>
      <c r="M238" s="51">
        <f t="shared" ref="M238:M295" si="8">SUM(F238:L238)</f>
        <v>10000000</v>
      </c>
      <c r="N238" s="52">
        <f t="shared" ref="N238:N295" si="9">M238/D238*100%</f>
        <v>1</v>
      </c>
    </row>
    <row r="239" spans="1:14" ht="25.75">
      <c r="A239" s="149" t="s">
        <v>229</v>
      </c>
      <c r="B239" s="17" t="s">
        <v>230</v>
      </c>
      <c r="C239" s="18">
        <v>10000000</v>
      </c>
      <c r="D239" s="18">
        <v>10000000</v>
      </c>
      <c r="E239" s="37" t="s">
        <v>318</v>
      </c>
      <c r="F239" s="18">
        <v>0</v>
      </c>
      <c r="G239" s="18">
        <v>0</v>
      </c>
      <c r="H239" s="41">
        <v>10000000</v>
      </c>
      <c r="I239" s="18">
        <v>0</v>
      </c>
      <c r="J239" s="18">
        <v>0</v>
      </c>
      <c r="K239" s="18">
        <v>0</v>
      </c>
      <c r="L239" s="157">
        <v>0</v>
      </c>
      <c r="M239" s="51">
        <f t="shared" si="8"/>
        <v>10000000</v>
      </c>
      <c r="N239" s="52">
        <f t="shared" si="9"/>
        <v>1</v>
      </c>
    </row>
    <row r="240" spans="1:14" ht="25.75">
      <c r="A240" s="148" t="s">
        <v>231</v>
      </c>
      <c r="B240" s="13" t="s">
        <v>232</v>
      </c>
      <c r="C240" s="15">
        <v>4246906200</v>
      </c>
      <c r="D240" s="15">
        <v>4246906200</v>
      </c>
      <c r="E240" s="31"/>
      <c r="F240" s="15">
        <v>404904400</v>
      </c>
      <c r="G240" s="15">
        <v>736731000</v>
      </c>
      <c r="H240" s="15">
        <v>841927000</v>
      </c>
      <c r="I240" s="15">
        <v>383773888</v>
      </c>
      <c r="J240" s="15">
        <v>266146876</v>
      </c>
      <c r="K240" s="15">
        <v>365933300</v>
      </c>
      <c r="L240" s="165">
        <v>281799626</v>
      </c>
      <c r="M240" s="51">
        <f t="shared" si="8"/>
        <v>3281216090</v>
      </c>
      <c r="N240" s="52">
        <f t="shared" si="9"/>
        <v>0.77261327080875952</v>
      </c>
    </row>
    <row r="241" spans="1:14" ht="25.75">
      <c r="A241" s="147" t="s">
        <v>233</v>
      </c>
      <c r="B241" s="9" t="s">
        <v>234</v>
      </c>
      <c r="C241" s="11">
        <v>4246906200</v>
      </c>
      <c r="D241" s="11">
        <v>4246906200</v>
      </c>
      <c r="E241" s="27"/>
      <c r="F241" s="11">
        <v>404904400</v>
      </c>
      <c r="G241" s="11">
        <v>736731000</v>
      </c>
      <c r="H241" s="11">
        <v>841927000</v>
      </c>
      <c r="I241" s="11">
        <v>383773888</v>
      </c>
      <c r="J241" s="11">
        <v>266146876</v>
      </c>
      <c r="K241" s="11">
        <v>365933300</v>
      </c>
      <c r="L241" s="155">
        <v>281799626</v>
      </c>
      <c r="M241" s="51">
        <f t="shared" si="8"/>
        <v>3281216090</v>
      </c>
      <c r="N241" s="52">
        <f t="shared" si="9"/>
        <v>0.77261327080875952</v>
      </c>
    </row>
    <row r="242" spans="1:14">
      <c r="A242" s="149" t="s">
        <v>235</v>
      </c>
      <c r="B242" s="17" t="s">
        <v>236</v>
      </c>
      <c r="C242" s="18">
        <v>3038000000</v>
      </c>
      <c r="D242" s="18">
        <v>3038000000</v>
      </c>
      <c r="E242" s="28"/>
      <c r="F242" s="18">
        <v>267834000</v>
      </c>
      <c r="G242" s="18">
        <v>613520000</v>
      </c>
      <c r="H242" s="18">
        <v>713068000</v>
      </c>
      <c r="I242" s="18">
        <v>278942288</v>
      </c>
      <c r="J242" s="18">
        <v>165282776</v>
      </c>
      <c r="K242" s="18">
        <v>262527000</v>
      </c>
      <c r="L242" s="157">
        <v>163667226</v>
      </c>
      <c r="M242" s="51">
        <f t="shared" si="8"/>
        <v>2464841290</v>
      </c>
      <c r="N242" s="52">
        <f t="shared" si="9"/>
        <v>0.81133683015141544</v>
      </c>
    </row>
    <row r="243" spans="1:14">
      <c r="A243" s="150" t="s">
        <v>24</v>
      </c>
      <c r="B243" s="19" t="s">
        <v>25</v>
      </c>
      <c r="C243" s="21">
        <v>3038000000</v>
      </c>
      <c r="D243" s="21">
        <v>3038000000</v>
      </c>
      <c r="E243" s="30"/>
      <c r="F243" s="21">
        <v>267834000</v>
      </c>
      <c r="G243" s="21">
        <v>613520000</v>
      </c>
      <c r="H243" s="21">
        <v>713068000</v>
      </c>
      <c r="I243" s="21">
        <v>278942288</v>
      </c>
      <c r="J243" s="21">
        <v>165282776</v>
      </c>
      <c r="K243" s="21">
        <v>262527000</v>
      </c>
      <c r="L243" s="163">
        <v>163667226</v>
      </c>
      <c r="M243" s="51">
        <f t="shared" si="8"/>
        <v>2464841290</v>
      </c>
      <c r="N243" s="52">
        <f t="shared" si="9"/>
        <v>0.81133683015141544</v>
      </c>
    </row>
    <row r="244" spans="1:14">
      <c r="A244" s="151" t="s">
        <v>26</v>
      </c>
      <c r="B244" s="23" t="s">
        <v>27</v>
      </c>
      <c r="C244" s="25">
        <v>7760000</v>
      </c>
      <c r="D244" s="25">
        <v>7760000</v>
      </c>
      <c r="E244" s="29"/>
      <c r="F244" s="25">
        <v>5314000</v>
      </c>
      <c r="G244" s="25">
        <v>1000000</v>
      </c>
      <c r="H244" s="25">
        <v>723000</v>
      </c>
      <c r="I244" s="25">
        <v>0</v>
      </c>
      <c r="J244" s="25">
        <v>0</v>
      </c>
      <c r="K244" s="25">
        <v>0</v>
      </c>
      <c r="L244" s="160">
        <v>0</v>
      </c>
      <c r="M244" s="51">
        <f t="shared" si="8"/>
        <v>7037000</v>
      </c>
      <c r="N244" s="52">
        <f t="shared" si="9"/>
        <v>0.90682989690721649</v>
      </c>
    </row>
    <row r="245" spans="1:14">
      <c r="A245" s="149" t="s">
        <v>28</v>
      </c>
      <c r="B245" s="17" t="s">
        <v>29</v>
      </c>
      <c r="C245" s="18">
        <v>7760000</v>
      </c>
      <c r="D245" s="18">
        <v>7760000</v>
      </c>
      <c r="E245" s="28"/>
      <c r="F245" s="18">
        <v>5314000</v>
      </c>
      <c r="G245" s="18">
        <v>1000000</v>
      </c>
      <c r="H245" s="18">
        <v>723000</v>
      </c>
      <c r="I245" s="18">
        <v>0</v>
      </c>
      <c r="J245" s="18">
        <v>0</v>
      </c>
      <c r="K245" s="18">
        <v>0</v>
      </c>
      <c r="L245" s="157">
        <v>0</v>
      </c>
      <c r="M245" s="51">
        <f t="shared" si="8"/>
        <v>7037000</v>
      </c>
      <c r="N245" s="52">
        <f t="shared" si="9"/>
        <v>0.90682989690721649</v>
      </c>
    </row>
    <row r="246" spans="1:14">
      <c r="A246" s="149" t="s">
        <v>30</v>
      </c>
      <c r="B246" s="17" t="s">
        <v>31</v>
      </c>
      <c r="C246" s="18">
        <v>3591000</v>
      </c>
      <c r="D246" s="18">
        <v>3591000</v>
      </c>
      <c r="E246" s="28"/>
      <c r="F246" s="18">
        <v>3591000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57">
        <v>0</v>
      </c>
      <c r="M246" s="51">
        <f t="shared" si="8"/>
        <v>3591000</v>
      </c>
      <c r="N246" s="52">
        <f t="shared" si="9"/>
        <v>1</v>
      </c>
    </row>
    <row r="247" spans="1:14">
      <c r="A247" s="149" t="s">
        <v>32</v>
      </c>
      <c r="B247" s="17" t="s">
        <v>33</v>
      </c>
      <c r="C247" s="18">
        <v>2169000</v>
      </c>
      <c r="D247" s="18">
        <v>2169000</v>
      </c>
      <c r="E247" s="28"/>
      <c r="F247" s="18">
        <v>723000</v>
      </c>
      <c r="G247" s="18">
        <v>0</v>
      </c>
      <c r="H247" s="18">
        <v>723000</v>
      </c>
      <c r="I247" s="18">
        <v>0</v>
      </c>
      <c r="J247" s="18">
        <v>0</v>
      </c>
      <c r="K247" s="18">
        <v>0</v>
      </c>
      <c r="L247" s="157">
        <v>0</v>
      </c>
      <c r="M247" s="51">
        <f t="shared" si="8"/>
        <v>1446000</v>
      </c>
      <c r="N247" s="52">
        <f t="shared" si="9"/>
        <v>0.66666666666666663</v>
      </c>
    </row>
    <row r="248" spans="1:14">
      <c r="A248" s="149" t="s">
        <v>237</v>
      </c>
      <c r="B248" s="17" t="s">
        <v>238</v>
      </c>
      <c r="C248" s="18">
        <v>2000000</v>
      </c>
      <c r="D248" s="18">
        <v>2000000</v>
      </c>
      <c r="E248" s="28"/>
      <c r="F248" s="18">
        <v>1000000</v>
      </c>
      <c r="G248" s="18">
        <v>1000000</v>
      </c>
      <c r="H248" s="18">
        <v>0</v>
      </c>
      <c r="I248" s="18">
        <v>0</v>
      </c>
      <c r="J248" s="18">
        <v>0</v>
      </c>
      <c r="K248" s="18">
        <v>0</v>
      </c>
      <c r="L248" s="157">
        <v>0</v>
      </c>
      <c r="M248" s="51">
        <f t="shared" si="8"/>
        <v>2000000</v>
      </c>
      <c r="N248" s="52">
        <f t="shared" si="9"/>
        <v>1</v>
      </c>
    </row>
    <row r="249" spans="1:14">
      <c r="A249" s="151" t="s">
        <v>36</v>
      </c>
      <c r="B249" s="23" t="s">
        <v>37</v>
      </c>
      <c r="C249" s="25">
        <v>3030240000</v>
      </c>
      <c r="D249" s="25">
        <v>3030240000</v>
      </c>
      <c r="E249" s="29"/>
      <c r="F249" s="25">
        <v>262520000</v>
      </c>
      <c r="G249" s="25">
        <v>612520000</v>
      </c>
      <c r="H249" s="25">
        <v>712345000</v>
      </c>
      <c r="I249" s="25">
        <v>278942288</v>
      </c>
      <c r="J249" s="25">
        <v>165282776</v>
      </c>
      <c r="K249" s="25">
        <v>262527000</v>
      </c>
      <c r="L249" s="160">
        <v>163667226</v>
      </c>
      <c r="M249" s="51">
        <f t="shared" si="8"/>
        <v>2457804290</v>
      </c>
      <c r="N249" s="52">
        <f t="shared" si="9"/>
        <v>0.81109228641955755</v>
      </c>
    </row>
    <row r="250" spans="1:14">
      <c r="A250" s="149" t="s">
        <v>38</v>
      </c>
      <c r="B250" s="17" t="s">
        <v>39</v>
      </c>
      <c r="C250" s="18">
        <v>3030240000</v>
      </c>
      <c r="D250" s="18">
        <v>3030240000</v>
      </c>
      <c r="E250" s="28"/>
      <c r="F250" s="18">
        <v>262520000</v>
      </c>
      <c r="G250" s="18">
        <v>612520000</v>
      </c>
      <c r="H250" s="18">
        <v>712345000</v>
      </c>
      <c r="I250" s="18">
        <v>278942288</v>
      </c>
      <c r="J250" s="18">
        <v>165282776</v>
      </c>
      <c r="K250" s="18">
        <v>262527000</v>
      </c>
      <c r="L250" s="157">
        <v>163667226</v>
      </c>
      <c r="M250" s="51">
        <f t="shared" si="8"/>
        <v>2457804290</v>
      </c>
      <c r="N250" s="52">
        <f t="shared" si="9"/>
        <v>0.81109228641955755</v>
      </c>
    </row>
    <row r="251" spans="1:14">
      <c r="A251" s="149" t="s">
        <v>239</v>
      </c>
      <c r="B251" s="17" t="s">
        <v>240</v>
      </c>
      <c r="C251" s="18">
        <v>3000000000</v>
      </c>
      <c r="D251" s="18">
        <v>3000000000</v>
      </c>
      <c r="E251" s="28"/>
      <c r="F251" s="18">
        <v>260000000</v>
      </c>
      <c r="G251" s="18">
        <v>610000000</v>
      </c>
      <c r="H251" s="18">
        <v>709825000</v>
      </c>
      <c r="I251" s="18">
        <v>276422288</v>
      </c>
      <c r="J251" s="18">
        <v>162762776</v>
      </c>
      <c r="K251" s="18">
        <v>260007000</v>
      </c>
      <c r="L251" s="157">
        <v>161147226</v>
      </c>
      <c r="M251" s="51">
        <f t="shared" si="8"/>
        <v>2440164290</v>
      </c>
      <c r="N251" s="52">
        <f t="shared" si="9"/>
        <v>0.81338809666666667</v>
      </c>
    </row>
    <row r="252" spans="1:14">
      <c r="A252" s="149" t="s">
        <v>112</v>
      </c>
      <c r="B252" s="17" t="s">
        <v>113</v>
      </c>
      <c r="C252" s="18">
        <v>30240000</v>
      </c>
      <c r="D252" s="18">
        <v>30240000</v>
      </c>
      <c r="E252" s="28"/>
      <c r="F252" s="18">
        <v>2520000</v>
      </c>
      <c r="G252" s="18">
        <v>2520000</v>
      </c>
      <c r="H252" s="18">
        <v>2520000</v>
      </c>
      <c r="I252" s="18">
        <v>2520000</v>
      </c>
      <c r="J252" s="18">
        <v>2520000</v>
      </c>
      <c r="K252" s="18">
        <v>2520000</v>
      </c>
      <c r="L252" s="157">
        <v>2520000</v>
      </c>
      <c r="M252" s="51">
        <f t="shared" si="8"/>
        <v>17640000</v>
      </c>
      <c r="N252" s="52">
        <f t="shared" si="9"/>
        <v>0.58333333333333337</v>
      </c>
    </row>
    <row r="253" spans="1:14" ht="25.75">
      <c r="A253" s="149" t="s">
        <v>241</v>
      </c>
      <c r="B253" s="47" t="s">
        <v>242</v>
      </c>
      <c r="C253" s="18">
        <v>1225400</v>
      </c>
      <c r="D253" s="18">
        <v>1225400</v>
      </c>
      <c r="E253" s="28"/>
      <c r="F253" s="18">
        <v>0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57">
        <v>0</v>
      </c>
      <c r="M253" s="51">
        <f t="shared" si="8"/>
        <v>0</v>
      </c>
      <c r="N253" s="52">
        <f t="shared" si="9"/>
        <v>0</v>
      </c>
    </row>
    <row r="254" spans="1:14">
      <c r="A254" s="150" t="s">
        <v>24</v>
      </c>
      <c r="B254" s="19" t="s">
        <v>25</v>
      </c>
      <c r="C254" s="21">
        <v>1225400</v>
      </c>
      <c r="D254" s="21">
        <v>1225400</v>
      </c>
      <c r="E254" s="30"/>
      <c r="F254" s="21">
        <v>0</v>
      </c>
      <c r="G254" s="21">
        <v>0</v>
      </c>
      <c r="H254" s="21">
        <v>0</v>
      </c>
      <c r="I254" s="21">
        <v>0</v>
      </c>
      <c r="J254" s="21">
        <v>0</v>
      </c>
      <c r="K254" s="21">
        <v>0</v>
      </c>
      <c r="L254" s="163">
        <v>0</v>
      </c>
      <c r="M254" s="51">
        <f t="shared" si="8"/>
        <v>0</v>
      </c>
      <c r="N254" s="52">
        <f t="shared" si="9"/>
        <v>0</v>
      </c>
    </row>
    <row r="255" spans="1:14">
      <c r="A255" s="151" t="s">
        <v>26</v>
      </c>
      <c r="B255" s="23" t="s">
        <v>27</v>
      </c>
      <c r="C255" s="25">
        <v>1225400</v>
      </c>
      <c r="D255" s="25">
        <v>1225400</v>
      </c>
      <c r="E255" s="29"/>
      <c r="F255" s="25">
        <v>0</v>
      </c>
      <c r="G255" s="25">
        <v>0</v>
      </c>
      <c r="H255" s="25">
        <v>0</v>
      </c>
      <c r="I255" s="25">
        <v>0</v>
      </c>
      <c r="J255" s="25">
        <v>0</v>
      </c>
      <c r="K255" s="25">
        <v>0</v>
      </c>
      <c r="L255" s="160">
        <v>0</v>
      </c>
      <c r="M255" s="51">
        <f t="shared" si="8"/>
        <v>0</v>
      </c>
      <c r="N255" s="52">
        <f t="shared" si="9"/>
        <v>0</v>
      </c>
    </row>
    <row r="256" spans="1:14">
      <c r="A256" s="149" t="s">
        <v>28</v>
      </c>
      <c r="B256" s="17" t="s">
        <v>29</v>
      </c>
      <c r="C256" s="18">
        <v>1225400</v>
      </c>
      <c r="D256" s="18">
        <v>1225400</v>
      </c>
      <c r="E256" s="28"/>
      <c r="F256" s="18">
        <v>0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57">
        <v>0</v>
      </c>
      <c r="M256" s="51">
        <f t="shared" si="8"/>
        <v>0</v>
      </c>
      <c r="N256" s="52">
        <f t="shared" si="9"/>
        <v>0</v>
      </c>
    </row>
    <row r="257" spans="1:14">
      <c r="A257" s="149" t="s">
        <v>32</v>
      </c>
      <c r="B257" s="17" t="s">
        <v>33</v>
      </c>
      <c r="C257" s="18">
        <v>413400</v>
      </c>
      <c r="D257" s="18">
        <v>413400</v>
      </c>
      <c r="E257" s="28"/>
      <c r="F257" s="18">
        <v>0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57">
        <v>0</v>
      </c>
      <c r="M257" s="51">
        <f t="shared" si="8"/>
        <v>0</v>
      </c>
      <c r="N257" s="52">
        <f t="shared" si="9"/>
        <v>0</v>
      </c>
    </row>
    <row r="258" spans="1:14">
      <c r="A258" s="149" t="s">
        <v>34</v>
      </c>
      <c r="B258" s="17" t="s">
        <v>35</v>
      </c>
      <c r="C258" s="18">
        <v>812000</v>
      </c>
      <c r="D258" s="18">
        <v>812000</v>
      </c>
      <c r="E258" s="28"/>
      <c r="F258" s="18">
        <v>0</v>
      </c>
      <c r="G258" s="18">
        <v>0</v>
      </c>
      <c r="H258" s="18">
        <v>0</v>
      </c>
      <c r="I258" s="18">
        <v>0</v>
      </c>
      <c r="J258" s="18">
        <v>0</v>
      </c>
      <c r="K258" s="18">
        <v>0</v>
      </c>
      <c r="L258" s="157">
        <v>0</v>
      </c>
      <c r="M258" s="51">
        <f t="shared" si="8"/>
        <v>0</v>
      </c>
      <c r="N258" s="52">
        <f t="shared" si="9"/>
        <v>0</v>
      </c>
    </row>
    <row r="259" spans="1:14">
      <c r="A259" s="149" t="s">
        <v>243</v>
      </c>
      <c r="B259" s="17" t="s">
        <v>244</v>
      </c>
      <c r="C259" s="18">
        <v>380615000</v>
      </c>
      <c r="D259" s="18">
        <v>380615000</v>
      </c>
      <c r="E259" s="28"/>
      <c r="F259" s="18">
        <v>60733400</v>
      </c>
      <c r="G259" s="18">
        <v>52252000</v>
      </c>
      <c r="H259" s="18">
        <v>62588200</v>
      </c>
      <c r="I259" s="18">
        <v>33962000</v>
      </c>
      <c r="J259" s="18">
        <v>34124000</v>
      </c>
      <c r="K259" s="18">
        <v>35000000</v>
      </c>
      <c r="L259" s="157">
        <v>52190400</v>
      </c>
      <c r="M259" s="51">
        <f t="shared" si="8"/>
        <v>330850000</v>
      </c>
      <c r="N259" s="52">
        <f t="shared" si="9"/>
        <v>0.86925108048815736</v>
      </c>
    </row>
    <row r="260" spans="1:14">
      <c r="A260" s="150" t="s">
        <v>24</v>
      </c>
      <c r="B260" s="19" t="s">
        <v>25</v>
      </c>
      <c r="C260" s="21">
        <v>380615000</v>
      </c>
      <c r="D260" s="21">
        <v>380615000</v>
      </c>
      <c r="E260" s="30"/>
      <c r="F260" s="21">
        <v>60733400</v>
      </c>
      <c r="G260" s="21">
        <v>52252000</v>
      </c>
      <c r="H260" s="21">
        <v>62588200</v>
      </c>
      <c r="I260" s="21">
        <v>33962000</v>
      </c>
      <c r="J260" s="21">
        <v>34124000</v>
      </c>
      <c r="K260" s="21">
        <v>35000000</v>
      </c>
      <c r="L260" s="163">
        <v>52190400</v>
      </c>
      <c r="M260" s="51">
        <f t="shared" si="8"/>
        <v>330850000</v>
      </c>
      <c r="N260" s="52">
        <f t="shared" si="9"/>
        <v>0.86925108048815736</v>
      </c>
    </row>
    <row r="261" spans="1:14">
      <c r="A261" s="151" t="s">
        <v>26</v>
      </c>
      <c r="B261" s="23" t="s">
        <v>27</v>
      </c>
      <c r="C261" s="25">
        <v>376115000</v>
      </c>
      <c r="D261" s="25">
        <v>376115000</v>
      </c>
      <c r="E261" s="29"/>
      <c r="F261" s="25">
        <v>60733400</v>
      </c>
      <c r="G261" s="25">
        <v>52252000</v>
      </c>
      <c r="H261" s="25">
        <v>62588200</v>
      </c>
      <c r="I261" s="25">
        <v>33962000</v>
      </c>
      <c r="J261" s="25">
        <v>34124000</v>
      </c>
      <c r="K261" s="25">
        <v>35000000</v>
      </c>
      <c r="L261" s="160">
        <v>52190400</v>
      </c>
      <c r="M261" s="51">
        <f t="shared" si="8"/>
        <v>330850000</v>
      </c>
      <c r="N261" s="52">
        <f t="shared" si="9"/>
        <v>0.87965117051965491</v>
      </c>
    </row>
    <row r="262" spans="1:14">
      <c r="A262" s="149" t="s">
        <v>28</v>
      </c>
      <c r="B262" s="17" t="s">
        <v>29</v>
      </c>
      <c r="C262" s="18">
        <v>376115000</v>
      </c>
      <c r="D262" s="18">
        <v>376115000</v>
      </c>
      <c r="E262" s="28"/>
      <c r="F262" s="18">
        <v>60733400</v>
      </c>
      <c r="G262" s="18">
        <v>52252000</v>
      </c>
      <c r="H262" s="18">
        <v>62588200</v>
      </c>
      <c r="I262" s="18">
        <v>33962000</v>
      </c>
      <c r="J262" s="18">
        <v>34124000</v>
      </c>
      <c r="K262" s="18">
        <v>35000000</v>
      </c>
      <c r="L262" s="157">
        <v>52190400</v>
      </c>
      <c r="M262" s="51">
        <f t="shared" si="8"/>
        <v>330850000</v>
      </c>
      <c r="N262" s="52">
        <f t="shared" si="9"/>
        <v>0.87965117051965491</v>
      </c>
    </row>
    <row r="263" spans="1:14">
      <c r="A263" s="149" t="s">
        <v>30</v>
      </c>
      <c r="B263" s="17" t="s">
        <v>31</v>
      </c>
      <c r="C263" s="18">
        <v>373777000</v>
      </c>
      <c r="D263" s="18">
        <v>373777000</v>
      </c>
      <c r="E263" s="28"/>
      <c r="F263" s="18">
        <v>60733400</v>
      </c>
      <c r="G263" s="18">
        <v>51600000</v>
      </c>
      <c r="H263" s="18">
        <v>62588200</v>
      </c>
      <c r="I263" s="18">
        <v>33200000</v>
      </c>
      <c r="J263" s="18">
        <v>33200000</v>
      </c>
      <c r="K263" s="18">
        <v>35000000</v>
      </c>
      <c r="L263" s="157">
        <v>52190400</v>
      </c>
      <c r="M263" s="51">
        <f t="shared" si="8"/>
        <v>328512000</v>
      </c>
      <c r="N263" s="52">
        <f t="shared" si="9"/>
        <v>0.8788983805852153</v>
      </c>
    </row>
    <row r="264" spans="1:14">
      <c r="A264" s="149" t="s">
        <v>32</v>
      </c>
      <c r="B264" s="17" t="s">
        <v>33</v>
      </c>
      <c r="C264" s="18">
        <v>1686000</v>
      </c>
      <c r="D264" s="18">
        <v>1686000</v>
      </c>
      <c r="E264" s="28"/>
      <c r="F264" s="18">
        <v>0</v>
      </c>
      <c r="G264" s="18">
        <v>0</v>
      </c>
      <c r="H264" s="18">
        <v>0</v>
      </c>
      <c r="I264" s="18">
        <v>762000</v>
      </c>
      <c r="J264" s="18">
        <v>924000</v>
      </c>
      <c r="K264" s="18">
        <v>0</v>
      </c>
      <c r="L264" s="157">
        <v>0</v>
      </c>
      <c r="M264" s="51">
        <f t="shared" si="8"/>
        <v>1686000</v>
      </c>
      <c r="N264" s="52">
        <f t="shared" si="9"/>
        <v>1</v>
      </c>
    </row>
    <row r="265" spans="1:14">
      <c r="A265" s="149" t="s">
        <v>34</v>
      </c>
      <c r="B265" s="17" t="s">
        <v>35</v>
      </c>
      <c r="C265" s="18">
        <v>652000</v>
      </c>
      <c r="D265" s="18">
        <v>652000</v>
      </c>
      <c r="E265" s="28"/>
      <c r="F265" s="18">
        <v>0</v>
      </c>
      <c r="G265" s="18">
        <v>652000</v>
      </c>
      <c r="H265" s="18">
        <v>0</v>
      </c>
      <c r="I265" s="18">
        <v>0</v>
      </c>
      <c r="J265" s="18">
        <v>0</v>
      </c>
      <c r="K265" s="18">
        <v>0</v>
      </c>
      <c r="L265" s="157">
        <v>0</v>
      </c>
      <c r="M265" s="51">
        <f t="shared" si="8"/>
        <v>652000</v>
      </c>
      <c r="N265" s="52">
        <f t="shared" si="9"/>
        <v>1</v>
      </c>
    </row>
    <row r="266" spans="1:14" ht="25.75">
      <c r="A266" s="151" t="s">
        <v>175</v>
      </c>
      <c r="B266" s="23" t="s">
        <v>176</v>
      </c>
      <c r="C266" s="25">
        <v>4500000</v>
      </c>
      <c r="D266" s="25">
        <v>4500000</v>
      </c>
      <c r="E266" s="29"/>
      <c r="F266" s="25">
        <v>0</v>
      </c>
      <c r="G266" s="25">
        <v>0</v>
      </c>
      <c r="H266" s="25">
        <v>0</v>
      </c>
      <c r="I266" s="25">
        <v>0</v>
      </c>
      <c r="J266" s="25">
        <v>0</v>
      </c>
      <c r="K266" s="25">
        <v>0</v>
      </c>
      <c r="L266" s="160">
        <v>0</v>
      </c>
      <c r="M266" s="51">
        <f t="shared" si="8"/>
        <v>0</v>
      </c>
      <c r="N266" s="52">
        <f t="shared" si="9"/>
        <v>0</v>
      </c>
    </row>
    <row r="267" spans="1:14" ht="25.75">
      <c r="A267" s="149" t="s">
        <v>177</v>
      </c>
      <c r="B267" s="17" t="s">
        <v>178</v>
      </c>
      <c r="C267" s="18">
        <v>4500000</v>
      </c>
      <c r="D267" s="18">
        <v>4500000</v>
      </c>
      <c r="E267" s="28"/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57">
        <v>0</v>
      </c>
      <c r="M267" s="51">
        <f t="shared" si="8"/>
        <v>0</v>
      </c>
      <c r="N267" s="52">
        <f t="shared" si="9"/>
        <v>0</v>
      </c>
    </row>
    <row r="268" spans="1:14">
      <c r="A268" s="149" t="s">
        <v>179</v>
      </c>
      <c r="B268" s="17" t="s">
        <v>180</v>
      </c>
      <c r="C268" s="18">
        <v>4500000</v>
      </c>
      <c r="D268" s="18">
        <v>4500000</v>
      </c>
      <c r="E268" s="28"/>
      <c r="F268" s="18">
        <v>0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57">
        <v>0</v>
      </c>
      <c r="M268" s="51">
        <f t="shared" si="8"/>
        <v>0</v>
      </c>
      <c r="N268" s="52">
        <f t="shared" si="9"/>
        <v>0</v>
      </c>
    </row>
    <row r="269" spans="1:14">
      <c r="A269" s="149" t="s">
        <v>245</v>
      </c>
      <c r="B269" s="47" t="s">
        <v>246</v>
      </c>
      <c r="C269" s="18">
        <v>21902000</v>
      </c>
      <c r="D269" s="18">
        <v>21902000</v>
      </c>
      <c r="E269" s="28"/>
      <c r="F269" s="18">
        <v>380000</v>
      </c>
      <c r="G269" s="18">
        <v>2064000</v>
      </c>
      <c r="H269" s="18">
        <v>0</v>
      </c>
      <c r="I269" s="18">
        <v>1140000</v>
      </c>
      <c r="J269" s="18">
        <v>0</v>
      </c>
      <c r="K269" s="18">
        <v>1140000</v>
      </c>
      <c r="L269" s="157">
        <v>762000</v>
      </c>
      <c r="M269" s="51">
        <f t="shared" si="8"/>
        <v>5486000</v>
      </c>
      <c r="N269" s="52">
        <f t="shared" si="9"/>
        <v>0.25047940827321707</v>
      </c>
    </row>
    <row r="270" spans="1:14">
      <c r="A270" s="150" t="s">
        <v>24</v>
      </c>
      <c r="B270" s="19" t="s">
        <v>25</v>
      </c>
      <c r="C270" s="21">
        <v>21902000</v>
      </c>
      <c r="D270" s="21">
        <v>21902000</v>
      </c>
      <c r="E270" s="30"/>
      <c r="F270" s="21">
        <v>380000</v>
      </c>
      <c r="G270" s="21">
        <v>2064000</v>
      </c>
      <c r="H270" s="21">
        <v>0</v>
      </c>
      <c r="I270" s="21">
        <v>1140000</v>
      </c>
      <c r="J270" s="21">
        <v>0</v>
      </c>
      <c r="K270" s="21">
        <v>1140000</v>
      </c>
      <c r="L270" s="163">
        <v>762000</v>
      </c>
      <c r="M270" s="51">
        <f t="shared" si="8"/>
        <v>5486000</v>
      </c>
      <c r="N270" s="52">
        <f t="shared" si="9"/>
        <v>0.25047940827321707</v>
      </c>
    </row>
    <row r="271" spans="1:14">
      <c r="A271" s="151" t="s">
        <v>26</v>
      </c>
      <c r="B271" s="23" t="s">
        <v>27</v>
      </c>
      <c r="C271" s="25">
        <v>10002000</v>
      </c>
      <c r="D271" s="25">
        <v>10002000</v>
      </c>
      <c r="E271" s="29"/>
      <c r="F271" s="25">
        <v>0</v>
      </c>
      <c r="G271" s="25">
        <v>924000</v>
      </c>
      <c r="H271" s="25">
        <v>0</v>
      </c>
      <c r="I271" s="25">
        <v>0</v>
      </c>
      <c r="J271" s="25">
        <v>0</v>
      </c>
      <c r="K271" s="25">
        <v>0</v>
      </c>
      <c r="L271" s="160">
        <v>762000</v>
      </c>
      <c r="M271" s="51">
        <f t="shared" si="8"/>
        <v>1686000</v>
      </c>
      <c r="N271" s="52">
        <f t="shared" si="9"/>
        <v>0.16856628674265148</v>
      </c>
    </row>
    <row r="272" spans="1:14">
      <c r="A272" s="149" t="s">
        <v>28</v>
      </c>
      <c r="B272" s="17" t="s">
        <v>29</v>
      </c>
      <c r="C272" s="18">
        <v>10002000</v>
      </c>
      <c r="D272" s="18">
        <v>10002000</v>
      </c>
      <c r="E272" s="28"/>
      <c r="F272" s="18">
        <v>0</v>
      </c>
      <c r="G272" s="18">
        <v>924000</v>
      </c>
      <c r="H272" s="18">
        <v>0</v>
      </c>
      <c r="I272" s="18">
        <v>0</v>
      </c>
      <c r="J272" s="18">
        <v>0</v>
      </c>
      <c r="K272" s="18">
        <v>0</v>
      </c>
      <c r="L272" s="157">
        <v>762000</v>
      </c>
      <c r="M272" s="51">
        <f t="shared" si="8"/>
        <v>1686000</v>
      </c>
      <c r="N272" s="52">
        <f t="shared" si="9"/>
        <v>0.16856628674265148</v>
      </c>
    </row>
    <row r="273" spans="1:14">
      <c r="A273" s="149" t="s">
        <v>30</v>
      </c>
      <c r="B273" s="17" t="s">
        <v>31</v>
      </c>
      <c r="C273" s="18">
        <v>3066000</v>
      </c>
      <c r="D273" s="18">
        <v>3066000</v>
      </c>
      <c r="E273" s="28"/>
      <c r="F273" s="18">
        <v>0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57">
        <v>0</v>
      </c>
      <c r="M273" s="51">
        <f t="shared" si="8"/>
        <v>0</v>
      </c>
      <c r="N273" s="52">
        <f t="shared" si="9"/>
        <v>0</v>
      </c>
    </row>
    <row r="274" spans="1:14">
      <c r="A274" s="149" t="s">
        <v>32</v>
      </c>
      <c r="B274" s="17" t="s">
        <v>33</v>
      </c>
      <c r="C274" s="18">
        <v>1686000</v>
      </c>
      <c r="D274" s="18">
        <v>1686000</v>
      </c>
      <c r="E274" s="28"/>
      <c r="F274" s="18">
        <v>0</v>
      </c>
      <c r="G274" s="18">
        <v>924000</v>
      </c>
      <c r="H274" s="18">
        <v>0</v>
      </c>
      <c r="I274" s="18">
        <v>0</v>
      </c>
      <c r="J274" s="18">
        <v>0</v>
      </c>
      <c r="K274" s="18">
        <v>0</v>
      </c>
      <c r="L274" s="157">
        <v>762000</v>
      </c>
      <c r="M274" s="51">
        <f t="shared" si="8"/>
        <v>1686000</v>
      </c>
      <c r="N274" s="52">
        <f t="shared" si="9"/>
        <v>1</v>
      </c>
    </row>
    <row r="275" spans="1:14">
      <c r="A275" s="149" t="s">
        <v>137</v>
      </c>
      <c r="B275" s="17" t="s">
        <v>138</v>
      </c>
      <c r="C275" s="18">
        <v>5250000</v>
      </c>
      <c r="D275" s="18">
        <v>5250000</v>
      </c>
      <c r="E275" s="28"/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57">
        <v>0</v>
      </c>
      <c r="M275" s="51">
        <f t="shared" si="8"/>
        <v>0</v>
      </c>
      <c r="N275" s="52">
        <f t="shared" si="9"/>
        <v>0</v>
      </c>
    </row>
    <row r="276" spans="1:14">
      <c r="A276" s="151" t="s">
        <v>36</v>
      </c>
      <c r="B276" s="23" t="s">
        <v>37</v>
      </c>
      <c r="C276" s="25">
        <v>6100000</v>
      </c>
      <c r="D276" s="25">
        <v>6100000</v>
      </c>
      <c r="E276" s="29"/>
      <c r="F276" s="25">
        <v>0</v>
      </c>
      <c r="G276" s="25">
        <v>0</v>
      </c>
      <c r="H276" s="25">
        <v>0</v>
      </c>
      <c r="I276" s="25">
        <v>0</v>
      </c>
      <c r="J276" s="25">
        <v>0</v>
      </c>
      <c r="K276" s="25">
        <v>0</v>
      </c>
      <c r="L276" s="160">
        <v>0</v>
      </c>
      <c r="M276" s="51">
        <f t="shared" si="8"/>
        <v>0</v>
      </c>
      <c r="N276" s="52">
        <f t="shared" si="9"/>
        <v>0</v>
      </c>
    </row>
    <row r="277" spans="1:14">
      <c r="A277" s="149" t="s">
        <v>38</v>
      </c>
      <c r="B277" s="17" t="s">
        <v>39</v>
      </c>
      <c r="C277" s="18">
        <v>6100000</v>
      </c>
      <c r="D277" s="18">
        <v>6100000</v>
      </c>
      <c r="E277" s="28"/>
      <c r="F277" s="18">
        <v>0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57">
        <v>0</v>
      </c>
      <c r="M277" s="51">
        <f t="shared" si="8"/>
        <v>0</v>
      </c>
      <c r="N277" s="52">
        <f t="shared" si="9"/>
        <v>0</v>
      </c>
    </row>
    <row r="278" spans="1:14" ht="25.75">
      <c r="A278" s="149" t="s">
        <v>247</v>
      </c>
      <c r="B278" s="17" t="s">
        <v>248</v>
      </c>
      <c r="C278" s="18">
        <v>6100000</v>
      </c>
      <c r="D278" s="18">
        <v>6100000</v>
      </c>
      <c r="E278" s="28"/>
      <c r="F278" s="18">
        <v>0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57">
        <v>0</v>
      </c>
      <c r="M278" s="51">
        <f t="shared" si="8"/>
        <v>0</v>
      </c>
      <c r="N278" s="52">
        <f t="shared" si="9"/>
        <v>0</v>
      </c>
    </row>
    <row r="279" spans="1:14">
      <c r="A279" s="151" t="s">
        <v>42</v>
      </c>
      <c r="B279" s="23" t="s">
        <v>43</v>
      </c>
      <c r="C279" s="25">
        <v>5800000</v>
      </c>
      <c r="D279" s="25">
        <v>5800000</v>
      </c>
      <c r="E279" s="29"/>
      <c r="F279" s="25">
        <v>380000</v>
      </c>
      <c r="G279" s="25">
        <v>1140000</v>
      </c>
      <c r="H279" s="25">
        <v>0</v>
      </c>
      <c r="I279" s="25">
        <v>1140000</v>
      </c>
      <c r="J279" s="25">
        <v>0</v>
      </c>
      <c r="K279" s="25">
        <v>1140000</v>
      </c>
      <c r="L279" s="160">
        <v>0</v>
      </c>
      <c r="M279" s="51">
        <f t="shared" si="8"/>
        <v>3800000</v>
      </c>
      <c r="N279" s="52">
        <f t="shared" si="9"/>
        <v>0.65517241379310343</v>
      </c>
    </row>
    <row r="280" spans="1:14">
      <c r="A280" s="149" t="s">
        <v>44</v>
      </c>
      <c r="B280" s="17" t="s">
        <v>45</v>
      </c>
      <c r="C280" s="18">
        <v>5800000</v>
      </c>
      <c r="D280" s="18">
        <v>5800000</v>
      </c>
      <c r="E280" s="28"/>
      <c r="F280" s="18">
        <v>380000</v>
      </c>
      <c r="G280" s="18">
        <v>1140000</v>
      </c>
      <c r="H280" s="18">
        <v>0</v>
      </c>
      <c r="I280" s="18">
        <v>1140000</v>
      </c>
      <c r="J280" s="18">
        <v>0</v>
      </c>
      <c r="K280" s="18">
        <v>1140000</v>
      </c>
      <c r="L280" s="157">
        <v>0</v>
      </c>
      <c r="M280" s="51">
        <f t="shared" si="8"/>
        <v>3800000</v>
      </c>
      <c r="N280" s="52">
        <f t="shared" si="9"/>
        <v>0.65517241379310343</v>
      </c>
    </row>
    <row r="281" spans="1:14">
      <c r="A281" s="149" t="s">
        <v>46</v>
      </c>
      <c r="B281" s="17" t="s">
        <v>47</v>
      </c>
      <c r="C281" s="18">
        <v>3800000</v>
      </c>
      <c r="D281" s="18">
        <v>3800000</v>
      </c>
      <c r="E281" s="28"/>
      <c r="F281" s="18">
        <v>380000</v>
      </c>
      <c r="G281" s="18">
        <v>1140000</v>
      </c>
      <c r="H281" s="18">
        <v>0</v>
      </c>
      <c r="I281" s="18">
        <v>1140000</v>
      </c>
      <c r="J281" s="18">
        <v>0</v>
      </c>
      <c r="K281" s="18">
        <v>1140000</v>
      </c>
      <c r="L281" s="157">
        <v>0</v>
      </c>
      <c r="M281" s="51">
        <f t="shared" si="8"/>
        <v>3800000</v>
      </c>
      <c r="N281" s="52">
        <f t="shared" si="9"/>
        <v>1</v>
      </c>
    </row>
    <row r="282" spans="1:14">
      <c r="A282" s="149" t="s">
        <v>249</v>
      </c>
      <c r="B282" s="17" t="s">
        <v>250</v>
      </c>
      <c r="C282" s="18">
        <v>2000000</v>
      </c>
      <c r="D282" s="18">
        <v>2000000</v>
      </c>
      <c r="E282" s="28"/>
      <c r="F282" s="18">
        <v>0</v>
      </c>
      <c r="G282" s="18">
        <v>0</v>
      </c>
      <c r="H282" s="18">
        <v>0</v>
      </c>
      <c r="I282" s="18">
        <v>0</v>
      </c>
      <c r="J282" s="18">
        <v>0</v>
      </c>
      <c r="K282" s="18">
        <v>0</v>
      </c>
      <c r="L282" s="157">
        <v>0</v>
      </c>
      <c r="M282" s="51">
        <f t="shared" si="8"/>
        <v>0</v>
      </c>
      <c r="N282" s="52">
        <f t="shared" si="9"/>
        <v>0</v>
      </c>
    </row>
    <row r="283" spans="1:14">
      <c r="A283" s="149" t="s">
        <v>251</v>
      </c>
      <c r="B283" s="17" t="s">
        <v>252</v>
      </c>
      <c r="C283" s="18">
        <v>255800000</v>
      </c>
      <c r="D283" s="18">
        <v>255800000</v>
      </c>
      <c r="E283" s="28"/>
      <c r="F283" s="18">
        <v>21749600</v>
      </c>
      <c r="G283" s="18">
        <v>21760000</v>
      </c>
      <c r="H283" s="18">
        <v>21020800</v>
      </c>
      <c r="I283" s="18">
        <v>22129600</v>
      </c>
      <c r="J283" s="18">
        <v>21000000</v>
      </c>
      <c r="K283" s="18">
        <v>21760000</v>
      </c>
      <c r="L283" s="157">
        <v>21380000</v>
      </c>
      <c r="M283" s="51">
        <f t="shared" si="8"/>
        <v>150800000</v>
      </c>
      <c r="N283" s="52">
        <f t="shared" si="9"/>
        <v>0.58952306489444883</v>
      </c>
    </row>
    <row r="284" spans="1:14">
      <c r="A284" s="150" t="s">
        <v>24</v>
      </c>
      <c r="B284" s="19" t="s">
        <v>25</v>
      </c>
      <c r="C284" s="21">
        <v>255800000</v>
      </c>
      <c r="D284" s="21">
        <v>255800000</v>
      </c>
      <c r="E284" s="30"/>
      <c r="F284" s="21">
        <v>21749600</v>
      </c>
      <c r="G284" s="21">
        <v>21760000</v>
      </c>
      <c r="H284" s="21">
        <v>21020800</v>
      </c>
      <c r="I284" s="21">
        <v>22129600</v>
      </c>
      <c r="J284" s="21">
        <v>21000000</v>
      </c>
      <c r="K284" s="21">
        <v>21760000</v>
      </c>
      <c r="L284" s="163">
        <v>21380000</v>
      </c>
      <c r="M284" s="51">
        <f t="shared" si="8"/>
        <v>150800000</v>
      </c>
      <c r="N284" s="52">
        <f t="shared" si="9"/>
        <v>0.58952306489444883</v>
      </c>
    </row>
    <row r="285" spans="1:14">
      <c r="A285" s="151" t="s">
        <v>26</v>
      </c>
      <c r="B285" s="23" t="s">
        <v>27</v>
      </c>
      <c r="C285" s="25">
        <v>760000</v>
      </c>
      <c r="D285" s="25">
        <v>760000</v>
      </c>
      <c r="E285" s="29"/>
      <c r="F285" s="25">
        <v>369600</v>
      </c>
      <c r="G285" s="25">
        <v>0</v>
      </c>
      <c r="H285" s="25">
        <v>20800</v>
      </c>
      <c r="I285" s="25">
        <v>369600</v>
      </c>
      <c r="J285" s="25">
        <v>0</v>
      </c>
      <c r="K285" s="25">
        <v>0</v>
      </c>
      <c r="L285" s="160">
        <v>0</v>
      </c>
      <c r="M285" s="51">
        <f t="shared" si="8"/>
        <v>760000</v>
      </c>
      <c r="N285" s="52">
        <f t="shared" si="9"/>
        <v>1</v>
      </c>
    </row>
    <row r="286" spans="1:14">
      <c r="A286" s="149" t="s">
        <v>28</v>
      </c>
      <c r="B286" s="17" t="s">
        <v>29</v>
      </c>
      <c r="C286" s="18">
        <v>760000</v>
      </c>
      <c r="D286" s="18">
        <v>760000</v>
      </c>
      <c r="E286" s="28"/>
      <c r="F286" s="18">
        <v>369600</v>
      </c>
      <c r="G286" s="18">
        <v>0</v>
      </c>
      <c r="H286" s="18">
        <v>20800</v>
      </c>
      <c r="I286" s="18">
        <v>369600</v>
      </c>
      <c r="J286" s="18">
        <v>0</v>
      </c>
      <c r="K286" s="18">
        <v>0</v>
      </c>
      <c r="L286" s="157">
        <v>0</v>
      </c>
      <c r="M286" s="51">
        <f t="shared" si="8"/>
        <v>760000</v>
      </c>
      <c r="N286" s="52">
        <f t="shared" si="9"/>
        <v>1</v>
      </c>
    </row>
    <row r="287" spans="1:14">
      <c r="A287" s="149" t="s">
        <v>30</v>
      </c>
      <c r="B287" s="17" t="s">
        <v>31</v>
      </c>
      <c r="C287" s="18">
        <v>20800</v>
      </c>
      <c r="D287" s="18">
        <v>20800</v>
      </c>
      <c r="E287" s="28"/>
      <c r="F287" s="18">
        <v>0</v>
      </c>
      <c r="G287" s="18">
        <v>0</v>
      </c>
      <c r="H287" s="18">
        <v>20800</v>
      </c>
      <c r="I287" s="18">
        <v>0</v>
      </c>
      <c r="J287" s="18">
        <v>0</v>
      </c>
      <c r="K287" s="18">
        <v>0</v>
      </c>
      <c r="L287" s="157">
        <v>0</v>
      </c>
      <c r="M287" s="51">
        <f t="shared" si="8"/>
        <v>20800</v>
      </c>
      <c r="N287" s="52">
        <f t="shared" si="9"/>
        <v>1</v>
      </c>
    </row>
    <row r="288" spans="1:14">
      <c r="A288" s="149" t="s">
        <v>32</v>
      </c>
      <c r="B288" s="17" t="s">
        <v>33</v>
      </c>
      <c r="C288" s="18">
        <v>739200</v>
      </c>
      <c r="D288" s="18">
        <v>739200</v>
      </c>
      <c r="E288" s="28"/>
      <c r="F288" s="18">
        <v>369600</v>
      </c>
      <c r="G288" s="18">
        <v>0</v>
      </c>
      <c r="H288" s="18">
        <v>0</v>
      </c>
      <c r="I288" s="18">
        <v>369600</v>
      </c>
      <c r="J288" s="18">
        <v>0</v>
      </c>
      <c r="K288" s="18">
        <v>0</v>
      </c>
      <c r="L288" s="157">
        <v>0</v>
      </c>
      <c r="M288" s="51">
        <f t="shared" si="8"/>
        <v>739200</v>
      </c>
      <c r="N288" s="52">
        <f t="shared" si="9"/>
        <v>1</v>
      </c>
    </row>
    <row r="289" spans="1:14">
      <c r="A289" s="151" t="s">
        <v>36</v>
      </c>
      <c r="B289" s="23" t="s">
        <v>37</v>
      </c>
      <c r="C289" s="25">
        <v>252000000</v>
      </c>
      <c r="D289" s="25">
        <v>252000000</v>
      </c>
      <c r="E289" s="29"/>
      <c r="F289" s="25">
        <v>21000000</v>
      </c>
      <c r="G289" s="25">
        <v>21000000</v>
      </c>
      <c r="H289" s="25">
        <v>21000000</v>
      </c>
      <c r="I289" s="25">
        <v>21000000</v>
      </c>
      <c r="J289" s="25">
        <v>21000000</v>
      </c>
      <c r="K289" s="25">
        <v>21000000</v>
      </c>
      <c r="L289" s="160">
        <v>21000000</v>
      </c>
      <c r="M289" s="51">
        <f t="shared" si="8"/>
        <v>147000000</v>
      </c>
      <c r="N289" s="52">
        <f t="shared" si="9"/>
        <v>0.58333333333333337</v>
      </c>
    </row>
    <row r="290" spans="1:14">
      <c r="A290" s="149" t="s">
        <v>38</v>
      </c>
      <c r="B290" s="17" t="s">
        <v>39</v>
      </c>
      <c r="C290" s="18">
        <v>252000000</v>
      </c>
      <c r="D290" s="18">
        <v>252000000</v>
      </c>
      <c r="E290" s="28"/>
      <c r="F290" s="18">
        <v>21000000</v>
      </c>
      <c r="G290" s="18">
        <v>21000000</v>
      </c>
      <c r="H290" s="18">
        <v>21000000</v>
      </c>
      <c r="I290" s="18">
        <v>21000000</v>
      </c>
      <c r="J290" s="18">
        <v>21000000</v>
      </c>
      <c r="K290" s="18">
        <v>21000000</v>
      </c>
      <c r="L290" s="157">
        <v>21000000</v>
      </c>
      <c r="M290" s="51">
        <f t="shared" si="8"/>
        <v>147000000</v>
      </c>
      <c r="N290" s="52">
        <f t="shared" si="9"/>
        <v>0.58333333333333337</v>
      </c>
    </row>
    <row r="291" spans="1:14">
      <c r="A291" s="149" t="s">
        <v>239</v>
      </c>
      <c r="B291" s="17" t="s">
        <v>240</v>
      </c>
      <c r="C291" s="18">
        <v>252000000</v>
      </c>
      <c r="D291" s="18">
        <v>252000000</v>
      </c>
      <c r="E291" s="28"/>
      <c r="F291" s="18">
        <v>21000000</v>
      </c>
      <c r="G291" s="18">
        <v>21000000</v>
      </c>
      <c r="H291" s="18">
        <v>21000000</v>
      </c>
      <c r="I291" s="18">
        <v>21000000</v>
      </c>
      <c r="J291" s="18">
        <v>21000000</v>
      </c>
      <c r="K291" s="18">
        <v>21000000</v>
      </c>
      <c r="L291" s="157">
        <v>21000000</v>
      </c>
      <c r="M291" s="51">
        <f t="shared" si="8"/>
        <v>147000000</v>
      </c>
      <c r="N291" s="52">
        <f t="shared" si="9"/>
        <v>0.58333333333333337</v>
      </c>
    </row>
    <row r="292" spans="1:14">
      <c r="A292" s="151" t="s">
        <v>42</v>
      </c>
      <c r="B292" s="23" t="s">
        <v>43</v>
      </c>
      <c r="C292" s="25">
        <v>3040000</v>
      </c>
      <c r="D292" s="25">
        <v>3040000</v>
      </c>
      <c r="E292" s="29"/>
      <c r="F292" s="25">
        <v>380000</v>
      </c>
      <c r="G292" s="25">
        <v>760000</v>
      </c>
      <c r="H292" s="25">
        <v>0</v>
      </c>
      <c r="I292" s="25">
        <v>760000</v>
      </c>
      <c r="J292" s="25">
        <v>0</v>
      </c>
      <c r="K292" s="25">
        <v>760000</v>
      </c>
      <c r="L292" s="160">
        <v>380000</v>
      </c>
      <c r="M292" s="51">
        <f t="shared" si="8"/>
        <v>3040000</v>
      </c>
      <c r="N292" s="52">
        <f t="shared" si="9"/>
        <v>1</v>
      </c>
    </row>
    <row r="293" spans="1:14">
      <c r="A293" s="149" t="s">
        <v>44</v>
      </c>
      <c r="B293" s="17" t="s">
        <v>45</v>
      </c>
      <c r="C293" s="18">
        <v>3040000</v>
      </c>
      <c r="D293" s="18">
        <v>3040000</v>
      </c>
      <c r="E293" s="28"/>
      <c r="F293" s="18">
        <v>380000</v>
      </c>
      <c r="G293" s="18">
        <v>760000</v>
      </c>
      <c r="H293" s="18">
        <v>0</v>
      </c>
      <c r="I293" s="18">
        <v>760000</v>
      </c>
      <c r="J293" s="18">
        <v>0</v>
      </c>
      <c r="K293" s="18">
        <v>760000</v>
      </c>
      <c r="L293" s="157">
        <v>380000</v>
      </c>
      <c r="M293" s="51">
        <f t="shared" si="8"/>
        <v>3040000</v>
      </c>
      <c r="N293" s="52">
        <f t="shared" si="9"/>
        <v>1</v>
      </c>
    </row>
    <row r="294" spans="1:14">
      <c r="A294" s="149" t="s">
        <v>46</v>
      </c>
      <c r="B294" s="17" t="s">
        <v>47</v>
      </c>
      <c r="C294" s="18">
        <v>3040000</v>
      </c>
      <c r="D294" s="18">
        <v>3040000</v>
      </c>
      <c r="E294" s="28"/>
      <c r="F294" s="18">
        <v>380000</v>
      </c>
      <c r="G294" s="18">
        <v>760000</v>
      </c>
      <c r="H294" s="18">
        <v>0</v>
      </c>
      <c r="I294" s="18">
        <v>760000</v>
      </c>
      <c r="J294" s="18">
        <v>0</v>
      </c>
      <c r="K294" s="18">
        <v>760000</v>
      </c>
      <c r="L294" s="157">
        <v>380000</v>
      </c>
      <c r="M294" s="51">
        <f t="shared" si="8"/>
        <v>3040000</v>
      </c>
      <c r="N294" s="52">
        <f t="shared" si="9"/>
        <v>1</v>
      </c>
    </row>
    <row r="295" spans="1:14">
      <c r="A295" s="149" t="s">
        <v>253</v>
      </c>
      <c r="B295" s="47" t="s">
        <v>254</v>
      </c>
      <c r="C295" s="18">
        <v>301917400</v>
      </c>
      <c r="D295" s="18">
        <v>301917400</v>
      </c>
      <c r="E295" s="28"/>
      <c r="F295" s="18">
        <v>34207400</v>
      </c>
      <c r="G295" s="18">
        <v>27135000</v>
      </c>
      <c r="H295" s="18">
        <v>25250000</v>
      </c>
      <c r="I295" s="18">
        <v>23800000</v>
      </c>
      <c r="J295" s="18">
        <v>23800000</v>
      </c>
      <c r="K295" s="18">
        <v>23800000</v>
      </c>
      <c r="L295" s="157">
        <v>23800000</v>
      </c>
      <c r="M295" s="51">
        <f t="shared" si="8"/>
        <v>181792400</v>
      </c>
      <c r="N295" s="52">
        <f t="shared" si="9"/>
        <v>0.60212627692209852</v>
      </c>
    </row>
    <row r="296" spans="1:14">
      <c r="A296" s="150" t="s">
        <v>24</v>
      </c>
      <c r="B296" s="19" t="s">
        <v>25</v>
      </c>
      <c r="C296" s="21">
        <v>301917400</v>
      </c>
      <c r="D296" s="21">
        <v>301917400</v>
      </c>
      <c r="E296" s="30"/>
      <c r="F296" s="21">
        <v>34207400</v>
      </c>
      <c r="G296" s="21">
        <v>27135000</v>
      </c>
      <c r="H296" s="21">
        <v>25250000</v>
      </c>
      <c r="I296" s="21">
        <v>23800000</v>
      </c>
      <c r="J296" s="21">
        <v>23800000</v>
      </c>
      <c r="K296" s="21">
        <v>23800000</v>
      </c>
      <c r="L296" s="163">
        <v>23800000</v>
      </c>
      <c r="M296" s="51">
        <f t="shared" ref="M296:M355" si="10">SUM(F296:L296)</f>
        <v>181792400</v>
      </c>
      <c r="N296" s="52">
        <f t="shared" ref="N296:N355" si="11">M296/D296*100%</f>
        <v>0.60212627692209852</v>
      </c>
    </row>
    <row r="297" spans="1:14">
      <c r="A297" s="151" t="s">
        <v>26</v>
      </c>
      <c r="B297" s="23" t="s">
        <v>27</v>
      </c>
      <c r="C297" s="25">
        <v>4707400</v>
      </c>
      <c r="D297" s="25">
        <v>4707400</v>
      </c>
      <c r="E297" s="29"/>
      <c r="F297" s="25">
        <v>2457400</v>
      </c>
      <c r="G297" s="25">
        <v>1125000</v>
      </c>
      <c r="H297" s="25">
        <v>0</v>
      </c>
      <c r="I297" s="25">
        <v>0</v>
      </c>
      <c r="J297" s="25">
        <v>0</v>
      </c>
      <c r="K297" s="25">
        <v>0</v>
      </c>
      <c r="L297" s="160">
        <v>0</v>
      </c>
      <c r="M297" s="51">
        <f t="shared" si="10"/>
        <v>3582400</v>
      </c>
      <c r="N297" s="52">
        <f t="shared" si="11"/>
        <v>0.76101457280027196</v>
      </c>
    </row>
    <row r="298" spans="1:14">
      <c r="A298" s="149" t="s">
        <v>28</v>
      </c>
      <c r="B298" s="17" t="s">
        <v>29</v>
      </c>
      <c r="C298" s="18">
        <v>4707400</v>
      </c>
      <c r="D298" s="18">
        <v>4707400</v>
      </c>
      <c r="E298" s="28"/>
      <c r="F298" s="18">
        <v>2457400</v>
      </c>
      <c r="G298" s="18">
        <v>1125000</v>
      </c>
      <c r="H298" s="18">
        <v>0</v>
      </c>
      <c r="I298" s="18">
        <v>0</v>
      </c>
      <c r="J298" s="18">
        <v>0</v>
      </c>
      <c r="K298" s="18">
        <v>0</v>
      </c>
      <c r="L298" s="157">
        <v>0</v>
      </c>
      <c r="M298" s="51">
        <f t="shared" si="10"/>
        <v>3582400</v>
      </c>
      <c r="N298" s="52">
        <f t="shared" si="11"/>
        <v>0.76101457280027196</v>
      </c>
    </row>
    <row r="299" spans="1:14">
      <c r="A299" s="149" t="s">
        <v>30</v>
      </c>
      <c r="B299" s="17" t="s">
        <v>31</v>
      </c>
      <c r="C299" s="18">
        <v>1230800</v>
      </c>
      <c r="D299" s="18">
        <v>1230800</v>
      </c>
      <c r="E299" s="28"/>
      <c r="F299" s="18">
        <v>1230800</v>
      </c>
      <c r="G299" s="18">
        <v>0</v>
      </c>
      <c r="H299" s="18">
        <v>0</v>
      </c>
      <c r="I299" s="18">
        <v>0</v>
      </c>
      <c r="J299" s="18">
        <v>0</v>
      </c>
      <c r="K299" s="18">
        <v>0</v>
      </c>
      <c r="L299" s="157">
        <v>0</v>
      </c>
      <c r="M299" s="51">
        <f t="shared" si="10"/>
        <v>1230800</v>
      </c>
      <c r="N299" s="52">
        <f t="shared" si="11"/>
        <v>1</v>
      </c>
    </row>
    <row r="300" spans="1:14">
      <c r="A300" s="149" t="s">
        <v>32</v>
      </c>
      <c r="B300" s="17" t="s">
        <v>33</v>
      </c>
      <c r="C300" s="18">
        <v>413400</v>
      </c>
      <c r="D300" s="18">
        <v>413400</v>
      </c>
      <c r="E300" s="28"/>
      <c r="F300" s="18">
        <v>413400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57">
        <v>0</v>
      </c>
      <c r="M300" s="51">
        <f t="shared" si="10"/>
        <v>413400</v>
      </c>
      <c r="N300" s="52">
        <f t="shared" si="11"/>
        <v>1</v>
      </c>
    </row>
    <row r="301" spans="1:14">
      <c r="A301" s="149" t="s">
        <v>34</v>
      </c>
      <c r="B301" s="17" t="s">
        <v>35</v>
      </c>
      <c r="C301" s="18">
        <v>813200</v>
      </c>
      <c r="D301" s="18">
        <v>813200</v>
      </c>
      <c r="E301" s="28"/>
      <c r="F301" s="18">
        <v>813200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57">
        <v>0</v>
      </c>
      <c r="M301" s="51">
        <f t="shared" si="10"/>
        <v>813200</v>
      </c>
      <c r="N301" s="52">
        <f t="shared" si="11"/>
        <v>1</v>
      </c>
    </row>
    <row r="302" spans="1:14">
      <c r="A302" s="149" t="s">
        <v>137</v>
      </c>
      <c r="B302" s="17" t="s">
        <v>138</v>
      </c>
      <c r="C302" s="18">
        <v>2250000</v>
      </c>
      <c r="D302" s="18">
        <v>2250000</v>
      </c>
      <c r="E302" s="28"/>
      <c r="F302" s="18">
        <v>0</v>
      </c>
      <c r="G302" s="18">
        <v>1125000</v>
      </c>
      <c r="H302" s="18">
        <v>0</v>
      </c>
      <c r="I302" s="18">
        <v>0</v>
      </c>
      <c r="J302" s="18">
        <v>0</v>
      </c>
      <c r="K302" s="18">
        <v>0</v>
      </c>
      <c r="L302" s="157">
        <v>0</v>
      </c>
      <c r="M302" s="51">
        <f t="shared" si="10"/>
        <v>1125000</v>
      </c>
      <c r="N302" s="52">
        <f t="shared" si="11"/>
        <v>0.5</v>
      </c>
    </row>
    <row r="303" spans="1:14">
      <c r="A303" s="151" t="s">
        <v>36</v>
      </c>
      <c r="B303" s="23" t="s">
        <v>37</v>
      </c>
      <c r="C303" s="25">
        <v>289950000</v>
      </c>
      <c r="D303" s="25">
        <v>289950000</v>
      </c>
      <c r="E303" s="29"/>
      <c r="F303" s="25">
        <v>25250000</v>
      </c>
      <c r="G303" s="25">
        <v>25250000</v>
      </c>
      <c r="H303" s="25">
        <v>25250000</v>
      </c>
      <c r="I303" s="25">
        <v>23800000</v>
      </c>
      <c r="J303" s="25">
        <v>23800000</v>
      </c>
      <c r="K303" s="25">
        <v>23800000</v>
      </c>
      <c r="L303" s="160">
        <v>23800000</v>
      </c>
      <c r="M303" s="51">
        <f t="shared" si="10"/>
        <v>170950000</v>
      </c>
      <c r="N303" s="52">
        <f t="shared" si="11"/>
        <v>0.58958441110536297</v>
      </c>
    </row>
    <row r="304" spans="1:14">
      <c r="A304" s="149" t="s">
        <v>38</v>
      </c>
      <c r="B304" s="17" t="s">
        <v>39</v>
      </c>
      <c r="C304" s="18">
        <v>289950000</v>
      </c>
      <c r="D304" s="18">
        <v>289950000</v>
      </c>
      <c r="E304" s="28"/>
      <c r="F304" s="18">
        <v>25250000</v>
      </c>
      <c r="G304" s="18">
        <v>25250000</v>
      </c>
      <c r="H304" s="18">
        <v>25250000</v>
      </c>
      <c r="I304" s="18">
        <v>23800000</v>
      </c>
      <c r="J304" s="18">
        <v>23800000</v>
      </c>
      <c r="K304" s="18">
        <v>23800000</v>
      </c>
      <c r="L304" s="157">
        <v>23800000</v>
      </c>
      <c r="M304" s="51">
        <f t="shared" si="10"/>
        <v>170950000</v>
      </c>
      <c r="N304" s="52">
        <f t="shared" si="11"/>
        <v>0.58958441110536297</v>
      </c>
    </row>
    <row r="305" spans="1:14">
      <c r="A305" s="149" t="s">
        <v>255</v>
      </c>
      <c r="B305" s="17" t="s">
        <v>256</v>
      </c>
      <c r="C305" s="18">
        <v>285600000</v>
      </c>
      <c r="D305" s="18">
        <v>285600000</v>
      </c>
      <c r="E305" s="28"/>
      <c r="F305" s="18">
        <v>23800000</v>
      </c>
      <c r="G305" s="18">
        <v>23800000</v>
      </c>
      <c r="H305" s="18">
        <v>23800000</v>
      </c>
      <c r="I305" s="18">
        <v>23800000</v>
      </c>
      <c r="J305" s="18">
        <v>23800000</v>
      </c>
      <c r="K305" s="18">
        <v>23800000</v>
      </c>
      <c r="L305" s="157">
        <v>23800000</v>
      </c>
      <c r="M305" s="51">
        <f t="shared" si="10"/>
        <v>166600000</v>
      </c>
      <c r="N305" s="52">
        <f t="shared" si="11"/>
        <v>0.58333333333333337</v>
      </c>
    </row>
    <row r="306" spans="1:14">
      <c r="A306" s="149" t="s">
        <v>112</v>
      </c>
      <c r="B306" s="17" t="s">
        <v>113</v>
      </c>
      <c r="C306" s="18">
        <v>4350000</v>
      </c>
      <c r="D306" s="18">
        <v>4350000</v>
      </c>
      <c r="E306" s="28"/>
      <c r="F306" s="18">
        <v>1450000</v>
      </c>
      <c r="G306" s="18">
        <v>1450000</v>
      </c>
      <c r="H306" s="18">
        <v>1450000</v>
      </c>
      <c r="I306" s="18">
        <v>0</v>
      </c>
      <c r="J306" s="18">
        <v>0</v>
      </c>
      <c r="K306" s="18">
        <v>0</v>
      </c>
      <c r="L306" s="157">
        <v>0</v>
      </c>
      <c r="M306" s="51">
        <f t="shared" si="10"/>
        <v>4350000</v>
      </c>
      <c r="N306" s="52">
        <f t="shared" si="11"/>
        <v>1</v>
      </c>
    </row>
    <row r="307" spans="1:14">
      <c r="A307" s="151" t="s">
        <v>42</v>
      </c>
      <c r="B307" s="23" t="s">
        <v>43</v>
      </c>
      <c r="C307" s="25">
        <v>760000</v>
      </c>
      <c r="D307" s="25">
        <v>760000</v>
      </c>
      <c r="E307" s="29"/>
      <c r="F307" s="25">
        <v>0</v>
      </c>
      <c r="G307" s="25">
        <v>760000</v>
      </c>
      <c r="H307" s="25">
        <v>0</v>
      </c>
      <c r="I307" s="25">
        <v>0</v>
      </c>
      <c r="J307" s="25">
        <v>0</v>
      </c>
      <c r="K307" s="25">
        <v>0</v>
      </c>
      <c r="L307" s="160">
        <v>0</v>
      </c>
      <c r="M307" s="51">
        <f t="shared" si="10"/>
        <v>760000</v>
      </c>
      <c r="N307" s="52">
        <f t="shared" si="11"/>
        <v>1</v>
      </c>
    </row>
    <row r="308" spans="1:14">
      <c r="A308" s="149" t="s">
        <v>44</v>
      </c>
      <c r="B308" s="17" t="s">
        <v>45</v>
      </c>
      <c r="C308" s="18">
        <v>760000</v>
      </c>
      <c r="D308" s="18">
        <v>760000</v>
      </c>
      <c r="E308" s="28"/>
      <c r="F308" s="18">
        <v>0</v>
      </c>
      <c r="G308" s="18">
        <v>760000</v>
      </c>
      <c r="H308" s="18">
        <v>0</v>
      </c>
      <c r="I308" s="18">
        <v>0</v>
      </c>
      <c r="J308" s="18">
        <v>0</v>
      </c>
      <c r="K308" s="18">
        <v>0</v>
      </c>
      <c r="L308" s="157">
        <v>0</v>
      </c>
      <c r="M308" s="51">
        <f t="shared" si="10"/>
        <v>760000</v>
      </c>
      <c r="N308" s="52">
        <f t="shared" si="11"/>
        <v>1</v>
      </c>
    </row>
    <row r="309" spans="1:14">
      <c r="A309" s="149" t="s">
        <v>46</v>
      </c>
      <c r="B309" s="17" t="s">
        <v>47</v>
      </c>
      <c r="C309" s="18">
        <v>760000</v>
      </c>
      <c r="D309" s="18">
        <v>760000</v>
      </c>
      <c r="E309" s="28"/>
      <c r="F309" s="18">
        <v>0</v>
      </c>
      <c r="G309" s="18">
        <v>760000</v>
      </c>
      <c r="H309" s="18">
        <v>0</v>
      </c>
      <c r="I309" s="18">
        <v>0</v>
      </c>
      <c r="J309" s="18">
        <v>0</v>
      </c>
      <c r="K309" s="18">
        <v>0</v>
      </c>
      <c r="L309" s="157">
        <v>0</v>
      </c>
      <c r="M309" s="51">
        <f t="shared" si="10"/>
        <v>760000</v>
      </c>
      <c r="N309" s="52">
        <f t="shared" si="11"/>
        <v>1</v>
      </c>
    </row>
    <row r="310" spans="1:14" ht="25.75">
      <c r="A310" s="151" t="s">
        <v>175</v>
      </c>
      <c r="B310" s="23" t="s">
        <v>176</v>
      </c>
      <c r="C310" s="25">
        <v>6500000</v>
      </c>
      <c r="D310" s="25">
        <v>6500000</v>
      </c>
      <c r="E310" s="29"/>
      <c r="F310" s="25">
        <v>6500000</v>
      </c>
      <c r="G310" s="25">
        <v>0</v>
      </c>
      <c r="H310" s="25">
        <v>0</v>
      </c>
      <c r="I310" s="25">
        <v>0</v>
      </c>
      <c r="J310" s="25">
        <v>0</v>
      </c>
      <c r="K310" s="25">
        <v>0</v>
      </c>
      <c r="L310" s="160">
        <v>0</v>
      </c>
      <c r="M310" s="51">
        <f t="shared" si="10"/>
        <v>6500000</v>
      </c>
      <c r="N310" s="52">
        <f t="shared" si="11"/>
        <v>1</v>
      </c>
    </row>
    <row r="311" spans="1:14" ht="25.75">
      <c r="A311" s="149" t="s">
        <v>177</v>
      </c>
      <c r="B311" s="17" t="s">
        <v>178</v>
      </c>
      <c r="C311" s="18">
        <v>6500000</v>
      </c>
      <c r="D311" s="18">
        <v>6500000</v>
      </c>
      <c r="E311" s="28"/>
      <c r="F311" s="18">
        <v>6500000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57">
        <v>0</v>
      </c>
      <c r="M311" s="51">
        <f t="shared" si="10"/>
        <v>6500000</v>
      </c>
      <c r="N311" s="52">
        <f t="shared" si="11"/>
        <v>1</v>
      </c>
    </row>
    <row r="312" spans="1:14">
      <c r="A312" s="149" t="s">
        <v>179</v>
      </c>
      <c r="B312" s="17" t="s">
        <v>180</v>
      </c>
      <c r="C312" s="18">
        <v>6500000</v>
      </c>
      <c r="D312" s="18">
        <v>6500000</v>
      </c>
      <c r="E312" s="28"/>
      <c r="F312" s="18">
        <v>6500000</v>
      </c>
      <c r="G312" s="18">
        <v>0</v>
      </c>
      <c r="H312" s="18">
        <v>0</v>
      </c>
      <c r="I312" s="18">
        <v>0</v>
      </c>
      <c r="J312" s="18">
        <v>0</v>
      </c>
      <c r="K312" s="18">
        <v>0</v>
      </c>
      <c r="L312" s="157">
        <v>0</v>
      </c>
      <c r="M312" s="51">
        <f t="shared" si="10"/>
        <v>6500000</v>
      </c>
      <c r="N312" s="52">
        <f t="shared" si="11"/>
        <v>1</v>
      </c>
    </row>
    <row r="313" spans="1:14">
      <c r="A313" s="149" t="s">
        <v>257</v>
      </c>
      <c r="B313" s="17" t="s">
        <v>258</v>
      </c>
      <c r="C313" s="18">
        <v>245506300</v>
      </c>
      <c r="D313" s="18">
        <v>245506300</v>
      </c>
      <c r="E313" s="28"/>
      <c r="F313" s="18">
        <v>20000000</v>
      </c>
      <c r="G313" s="18">
        <v>20000000</v>
      </c>
      <c r="H313" s="18">
        <v>20000000</v>
      </c>
      <c r="I313" s="18">
        <v>23800000</v>
      </c>
      <c r="J313" s="18">
        <v>20000000</v>
      </c>
      <c r="K313" s="18">
        <v>21706300</v>
      </c>
      <c r="L313" s="157">
        <v>20000000</v>
      </c>
      <c r="M313" s="51">
        <f t="shared" si="10"/>
        <v>145506300</v>
      </c>
      <c r="N313" s="52">
        <f t="shared" si="11"/>
        <v>0.59267847708999732</v>
      </c>
    </row>
    <row r="314" spans="1:14">
      <c r="A314" s="150" t="s">
        <v>24</v>
      </c>
      <c r="B314" s="19" t="s">
        <v>25</v>
      </c>
      <c r="C314" s="21">
        <v>245506300</v>
      </c>
      <c r="D314" s="21">
        <v>245506300</v>
      </c>
      <c r="E314" s="30"/>
      <c r="F314" s="21">
        <v>20000000</v>
      </c>
      <c r="G314" s="21">
        <v>20000000</v>
      </c>
      <c r="H314" s="21">
        <v>20000000</v>
      </c>
      <c r="I314" s="21">
        <v>23800000</v>
      </c>
      <c r="J314" s="21">
        <v>20000000</v>
      </c>
      <c r="K314" s="21">
        <v>21706300</v>
      </c>
      <c r="L314" s="163">
        <v>20000000</v>
      </c>
      <c r="M314" s="51">
        <f t="shared" si="10"/>
        <v>145506300</v>
      </c>
      <c r="N314" s="52">
        <f t="shared" si="11"/>
        <v>0.59267847708999732</v>
      </c>
    </row>
    <row r="315" spans="1:14">
      <c r="A315" s="151" t="s">
        <v>26</v>
      </c>
      <c r="B315" s="23" t="s">
        <v>27</v>
      </c>
      <c r="C315" s="25">
        <v>1706300</v>
      </c>
      <c r="D315" s="25">
        <v>1706300</v>
      </c>
      <c r="E315" s="29"/>
      <c r="F315" s="25">
        <v>0</v>
      </c>
      <c r="G315" s="25">
        <v>0</v>
      </c>
      <c r="H315" s="25">
        <v>0</v>
      </c>
      <c r="I315" s="25">
        <v>0</v>
      </c>
      <c r="J315" s="25">
        <v>0</v>
      </c>
      <c r="K315" s="25">
        <v>1706300</v>
      </c>
      <c r="L315" s="160">
        <v>0</v>
      </c>
      <c r="M315" s="51">
        <f t="shared" si="10"/>
        <v>1706300</v>
      </c>
      <c r="N315" s="52">
        <f t="shared" si="11"/>
        <v>1</v>
      </c>
    </row>
    <row r="316" spans="1:14">
      <c r="A316" s="149" t="s">
        <v>28</v>
      </c>
      <c r="B316" s="17" t="s">
        <v>29</v>
      </c>
      <c r="C316" s="18">
        <v>1706300</v>
      </c>
      <c r="D316" s="18">
        <v>1706300</v>
      </c>
      <c r="E316" s="28"/>
      <c r="F316" s="18">
        <v>0</v>
      </c>
      <c r="G316" s="18">
        <v>0</v>
      </c>
      <c r="H316" s="18">
        <v>0</v>
      </c>
      <c r="I316" s="18">
        <v>0</v>
      </c>
      <c r="J316" s="18">
        <v>0</v>
      </c>
      <c r="K316" s="18">
        <v>1706300</v>
      </c>
      <c r="L316" s="157">
        <v>0</v>
      </c>
      <c r="M316" s="51">
        <f t="shared" si="10"/>
        <v>1706300</v>
      </c>
      <c r="N316" s="52">
        <f t="shared" si="11"/>
        <v>1</v>
      </c>
    </row>
    <row r="317" spans="1:14">
      <c r="A317" s="149" t="s">
        <v>30</v>
      </c>
      <c r="B317" s="17" t="s">
        <v>31</v>
      </c>
      <c r="C317" s="18">
        <v>329100</v>
      </c>
      <c r="D317" s="18">
        <v>329100</v>
      </c>
      <c r="E317" s="28"/>
      <c r="F317" s="18">
        <v>0</v>
      </c>
      <c r="G317" s="18">
        <v>0</v>
      </c>
      <c r="H317" s="18">
        <v>0</v>
      </c>
      <c r="I317" s="18">
        <v>0</v>
      </c>
      <c r="J317" s="18">
        <v>0</v>
      </c>
      <c r="K317" s="18">
        <v>329100</v>
      </c>
      <c r="L317" s="157">
        <v>0</v>
      </c>
      <c r="M317" s="51">
        <f t="shared" si="10"/>
        <v>329100</v>
      </c>
      <c r="N317" s="52">
        <f t="shared" si="11"/>
        <v>1</v>
      </c>
    </row>
    <row r="318" spans="1:14">
      <c r="A318" s="149" t="s">
        <v>32</v>
      </c>
      <c r="B318" s="17" t="s">
        <v>33</v>
      </c>
      <c r="C318" s="18">
        <v>413400</v>
      </c>
      <c r="D318" s="18">
        <v>413400</v>
      </c>
      <c r="E318" s="28"/>
      <c r="F318" s="18">
        <v>0</v>
      </c>
      <c r="G318" s="18">
        <v>0</v>
      </c>
      <c r="H318" s="18">
        <v>0</v>
      </c>
      <c r="I318" s="18">
        <v>0</v>
      </c>
      <c r="J318" s="18">
        <v>0</v>
      </c>
      <c r="K318" s="18">
        <v>413400</v>
      </c>
      <c r="L318" s="157">
        <v>0</v>
      </c>
      <c r="M318" s="51">
        <f t="shared" si="10"/>
        <v>413400</v>
      </c>
      <c r="N318" s="52">
        <f t="shared" si="11"/>
        <v>1</v>
      </c>
    </row>
    <row r="319" spans="1:14">
      <c r="A319" s="149" t="s">
        <v>34</v>
      </c>
      <c r="B319" s="17" t="s">
        <v>35</v>
      </c>
      <c r="C319" s="18">
        <v>963800</v>
      </c>
      <c r="D319" s="18">
        <v>963800</v>
      </c>
      <c r="E319" s="28"/>
      <c r="F319" s="18">
        <v>0</v>
      </c>
      <c r="G319" s="18">
        <v>0</v>
      </c>
      <c r="H319" s="18">
        <v>0</v>
      </c>
      <c r="I319" s="18">
        <v>0</v>
      </c>
      <c r="J319" s="18">
        <v>0</v>
      </c>
      <c r="K319" s="18">
        <v>963800</v>
      </c>
      <c r="L319" s="157">
        <v>0</v>
      </c>
      <c r="M319" s="51">
        <f t="shared" si="10"/>
        <v>963800</v>
      </c>
      <c r="N319" s="52">
        <f t="shared" si="11"/>
        <v>1</v>
      </c>
    </row>
    <row r="320" spans="1:14">
      <c r="A320" s="151" t="s">
        <v>36</v>
      </c>
      <c r="B320" s="23" t="s">
        <v>37</v>
      </c>
      <c r="C320" s="25">
        <v>240000000</v>
      </c>
      <c r="D320" s="25">
        <v>240000000</v>
      </c>
      <c r="E320" s="29"/>
      <c r="F320" s="25">
        <v>20000000</v>
      </c>
      <c r="G320" s="25">
        <v>20000000</v>
      </c>
      <c r="H320" s="25">
        <v>20000000</v>
      </c>
      <c r="I320" s="25">
        <v>20000000</v>
      </c>
      <c r="J320" s="25">
        <v>20000000</v>
      </c>
      <c r="K320" s="25">
        <v>20000000</v>
      </c>
      <c r="L320" s="160">
        <v>20000000</v>
      </c>
      <c r="M320" s="51">
        <f t="shared" si="10"/>
        <v>140000000</v>
      </c>
      <c r="N320" s="52">
        <f t="shared" si="11"/>
        <v>0.58333333333333337</v>
      </c>
    </row>
    <row r="321" spans="1:14">
      <c r="A321" s="149" t="s">
        <v>38</v>
      </c>
      <c r="B321" s="17" t="s">
        <v>39</v>
      </c>
      <c r="C321" s="18">
        <v>240000000</v>
      </c>
      <c r="D321" s="18">
        <v>240000000</v>
      </c>
      <c r="E321" s="28"/>
      <c r="F321" s="18">
        <v>20000000</v>
      </c>
      <c r="G321" s="18">
        <v>20000000</v>
      </c>
      <c r="H321" s="18">
        <v>20000000</v>
      </c>
      <c r="I321" s="18">
        <v>20000000</v>
      </c>
      <c r="J321" s="18">
        <v>20000000</v>
      </c>
      <c r="K321" s="18">
        <v>20000000</v>
      </c>
      <c r="L321" s="157">
        <v>20000000</v>
      </c>
      <c r="M321" s="51">
        <f t="shared" si="10"/>
        <v>140000000</v>
      </c>
      <c r="N321" s="52">
        <f t="shared" si="11"/>
        <v>0.58333333333333337</v>
      </c>
    </row>
    <row r="322" spans="1:14">
      <c r="A322" s="149" t="s">
        <v>259</v>
      </c>
      <c r="B322" s="17" t="s">
        <v>260</v>
      </c>
      <c r="C322" s="18">
        <v>240000000</v>
      </c>
      <c r="D322" s="18">
        <v>240000000</v>
      </c>
      <c r="E322" s="28"/>
      <c r="F322" s="18">
        <v>20000000</v>
      </c>
      <c r="G322" s="18">
        <v>20000000</v>
      </c>
      <c r="H322" s="18">
        <v>20000000</v>
      </c>
      <c r="I322" s="18">
        <v>20000000</v>
      </c>
      <c r="J322" s="18">
        <v>20000000</v>
      </c>
      <c r="K322" s="18">
        <v>20000000</v>
      </c>
      <c r="L322" s="157">
        <v>20000000</v>
      </c>
      <c r="M322" s="51">
        <f t="shared" si="10"/>
        <v>140000000</v>
      </c>
      <c r="N322" s="52">
        <f t="shared" si="11"/>
        <v>0.58333333333333337</v>
      </c>
    </row>
    <row r="323" spans="1:14">
      <c r="A323" s="151" t="s">
        <v>42</v>
      </c>
      <c r="B323" s="23" t="s">
        <v>43</v>
      </c>
      <c r="C323" s="25">
        <v>3800000</v>
      </c>
      <c r="D323" s="25">
        <v>3800000</v>
      </c>
      <c r="E323" s="29"/>
      <c r="F323" s="25">
        <v>0</v>
      </c>
      <c r="G323" s="25">
        <v>0</v>
      </c>
      <c r="H323" s="25">
        <v>0</v>
      </c>
      <c r="I323" s="25">
        <v>3800000</v>
      </c>
      <c r="J323" s="25">
        <v>0</v>
      </c>
      <c r="K323" s="25">
        <v>0</v>
      </c>
      <c r="L323" s="160">
        <v>0</v>
      </c>
      <c r="M323" s="51">
        <f t="shared" si="10"/>
        <v>3800000</v>
      </c>
      <c r="N323" s="52">
        <f t="shared" si="11"/>
        <v>1</v>
      </c>
    </row>
    <row r="324" spans="1:14">
      <c r="A324" s="149" t="s">
        <v>44</v>
      </c>
      <c r="B324" s="17" t="s">
        <v>45</v>
      </c>
      <c r="C324" s="18">
        <v>3800000</v>
      </c>
      <c r="D324" s="18">
        <v>3800000</v>
      </c>
      <c r="E324" s="28"/>
      <c r="F324" s="18">
        <v>0</v>
      </c>
      <c r="G324" s="18">
        <v>0</v>
      </c>
      <c r="H324" s="18">
        <v>0</v>
      </c>
      <c r="I324" s="18">
        <v>3800000</v>
      </c>
      <c r="J324" s="18">
        <v>0</v>
      </c>
      <c r="K324" s="18">
        <v>0</v>
      </c>
      <c r="L324" s="157">
        <v>0</v>
      </c>
      <c r="M324" s="51">
        <f t="shared" si="10"/>
        <v>3800000</v>
      </c>
      <c r="N324" s="52">
        <f t="shared" si="11"/>
        <v>1</v>
      </c>
    </row>
    <row r="325" spans="1:14">
      <c r="A325" s="149" t="s">
        <v>46</v>
      </c>
      <c r="B325" s="17" t="s">
        <v>47</v>
      </c>
      <c r="C325" s="18">
        <v>3800000</v>
      </c>
      <c r="D325" s="18">
        <v>3800000</v>
      </c>
      <c r="E325" s="28"/>
      <c r="F325" s="18">
        <v>0</v>
      </c>
      <c r="G325" s="18">
        <v>0</v>
      </c>
      <c r="H325" s="18">
        <v>0</v>
      </c>
      <c r="I325" s="18">
        <v>3800000</v>
      </c>
      <c r="J325" s="18">
        <v>0</v>
      </c>
      <c r="K325" s="18">
        <v>0</v>
      </c>
      <c r="L325" s="157">
        <v>0</v>
      </c>
      <c r="M325" s="51">
        <f t="shared" si="10"/>
        <v>3800000</v>
      </c>
      <c r="N325" s="52">
        <f t="shared" si="11"/>
        <v>1</v>
      </c>
    </row>
    <row r="326" spans="1:14">
      <c r="A326" s="149" t="s">
        <v>261</v>
      </c>
      <c r="B326" s="47" t="s">
        <v>262</v>
      </c>
      <c r="C326" s="18">
        <v>1940100</v>
      </c>
      <c r="D326" s="18">
        <v>1940100</v>
      </c>
      <c r="E326" s="28"/>
      <c r="F326" s="18">
        <v>0</v>
      </c>
      <c r="G326" s="18">
        <v>0</v>
      </c>
      <c r="H326" s="18">
        <v>0</v>
      </c>
      <c r="I326" s="18">
        <v>0</v>
      </c>
      <c r="J326" s="18">
        <v>1940100</v>
      </c>
      <c r="K326" s="18">
        <v>0</v>
      </c>
      <c r="L326" s="157">
        <v>0</v>
      </c>
      <c r="M326" s="51">
        <f t="shared" si="10"/>
        <v>1940100</v>
      </c>
      <c r="N326" s="52">
        <f t="shared" si="11"/>
        <v>1</v>
      </c>
    </row>
    <row r="327" spans="1:14">
      <c r="A327" s="150" t="s">
        <v>24</v>
      </c>
      <c r="B327" s="19" t="s">
        <v>25</v>
      </c>
      <c r="C327" s="21">
        <v>1940100</v>
      </c>
      <c r="D327" s="21">
        <v>1940100</v>
      </c>
      <c r="E327" s="30"/>
      <c r="F327" s="21">
        <v>0</v>
      </c>
      <c r="G327" s="21">
        <v>0</v>
      </c>
      <c r="H327" s="21">
        <v>0</v>
      </c>
      <c r="I327" s="21">
        <v>0</v>
      </c>
      <c r="J327" s="21">
        <v>1940100</v>
      </c>
      <c r="K327" s="21">
        <v>0</v>
      </c>
      <c r="L327" s="163">
        <v>0</v>
      </c>
      <c r="M327" s="51">
        <f t="shared" si="10"/>
        <v>1940100</v>
      </c>
      <c r="N327" s="52">
        <f t="shared" si="11"/>
        <v>1</v>
      </c>
    </row>
    <row r="328" spans="1:14">
      <c r="A328" s="151" t="s">
        <v>26</v>
      </c>
      <c r="B328" s="23" t="s">
        <v>27</v>
      </c>
      <c r="C328" s="25">
        <v>1940100</v>
      </c>
      <c r="D328" s="25">
        <v>1940100</v>
      </c>
      <c r="E328" s="29"/>
      <c r="F328" s="25">
        <v>0</v>
      </c>
      <c r="G328" s="25">
        <v>0</v>
      </c>
      <c r="H328" s="25">
        <v>0</v>
      </c>
      <c r="I328" s="25">
        <v>0</v>
      </c>
      <c r="J328" s="25">
        <v>1940100</v>
      </c>
      <c r="K328" s="25">
        <v>0</v>
      </c>
      <c r="L328" s="160">
        <v>0</v>
      </c>
      <c r="M328" s="51">
        <f t="shared" si="10"/>
        <v>1940100</v>
      </c>
      <c r="N328" s="52">
        <f t="shared" si="11"/>
        <v>1</v>
      </c>
    </row>
    <row r="329" spans="1:14">
      <c r="A329" s="149" t="s">
        <v>28</v>
      </c>
      <c r="B329" s="17" t="s">
        <v>29</v>
      </c>
      <c r="C329" s="18">
        <v>1940100</v>
      </c>
      <c r="D329" s="18">
        <v>1940100</v>
      </c>
      <c r="E329" s="28"/>
      <c r="F329" s="18">
        <v>0</v>
      </c>
      <c r="G329" s="18">
        <v>0</v>
      </c>
      <c r="H329" s="18">
        <v>0</v>
      </c>
      <c r="I329" s="18">
        <v>0</v>
      </c>
      <c r="J329" s="18">
        <v>1940100</v>
      </c>
      <c r="K329" s="18">
        <v>0</v>
      </c>
      <c r="L329" s="157">
        <v>0</v>
      </c>
      <c r="M329" s="51">
        <f t="shared" si="10"/>
        <v>1940100</v>
      </c>
      <c r="N329" s="52">
        <f t="shared" si="11"/>
        <v>1</v>
      </c>
    </row>
    <row r="330" spans="1:14">
      <c r="A330" s="149" t="s">
        <v>30</v>
      </c>
      <c r="B330" s="17" t="s">
        <v>31</v>
      </c>
      <c r="C330" s="18">
        <v>615900</v>
      </c>
      <c r="D330" s="18">
        <v>615900</v>
      </c>
      <c r="E330" s="28"/>
      <c r="F330" s="18">
        <v>0</v>
      </c>
      <c r="G330" s="18">
        <v>0</v>
      </c>
      <c r="H330" s="18">
        <v>0</v>
      </c>
      <c r="I330" s="18">
        <v>0</v>
      </c>
      <c r="J330" s="18">
        <v>615900</v>
      </c>
      <c r="K330" s="18">
        <v>0</v>
      </c>
      <c r="L330" s="157">
        <v>0</v>
      </c>
      <c r="M330" s="51">
        <f t="shared" si="10"/>
        <v>615900</v>
      </c>
      <c r="N330" s="52">
        <f t="shared" si="11"/>
        <v>1</v>
      </c>
    </row>
    <row r="331" spans="1:14">
      <c r="A331" s="149" t="s">
        <v>32</v>
      </c>
      <c r="B331" s="17" t="s">
        <v>33</v>
      </c>
      <c r="C331" s="18">
        <v>413400</v>
      </c>
      <c r="D331" s="18">
        <v>413400</v>
      </c>
      <c r="E331" s="28"/>
      <c r="F331" s="18">
        <v>0</v>
      </c>
      <c r="G331" s="18">
        <v>0</v>
      </c>
      <c r="H331" s="18">
        <v>0</v>
      </c>
      <c r="I331" s="18">
        <v>0</v>
      </c>
      <c r="J331" s="18">
        <v>413400</v>
      </c>
      <c r="K331" s="18">
        <v>0</v>
      </c>
      <c r="L331" s="157">
        <v>0</v>
      </c>
      <c r="M331" s="51">
        <f t="shared" si="10"/>
        <v>413400</v>
      </c>
      <c r="N331" s="52">
        <f t="shared" si="11"/>
        <v>1</v>
      </c>
    </row>
    <row r="332" spans="1:14">
      <c r="A332" s="149" t="s">
        <v>34</v>
      </c>
      <c r="B332" s="17" t="s">
        <v>35</v>
      </c>
      <c r="C332" s="18">
        <v>910800</v>
      </c>
      <c r="D332" s="18">
        <v>910800</v>
      </c>
      <c r="E332" s="28"/>
      <c r="F332" s="18">
        <v>0</v>
      </c>
      <c r="G332" s="18">
        <v>0</v>
      </c>
      <c r="H332" s="18">
        <v>0</v>
      </c>
      <c r="I332" s="18">
        <v>0</v>
      </c>
      <c r="J332" s="18">
        <v>910800</v>
      </c>
      <c r="K332" s="18">
        <v>0</v>
      </c>
      <c r="L332" s="157">
        <v>0</v>
      </c>
      <c r="M332" s="51">
        <f t="shared" si="10"/>
        <v>910800</v>
      </c>
      <c r="N332" s="52">
        <f t="shared" si="11"/>
        <v>1</v>
      </c>
    </row>
    <row r="333" spans="1:14">
      <c r="A333" s="148" t="s">
        <v>263</v>
      </c>
      <c r="B333" s="13" t="s">
        <v>264</v>
      </c>
      <c r="C333" s="15">
        <v>2556814200</v>
      </c>
      <c r="D333" s="15">
        <v>2556814200</v>
      </c>
      <c r="E333" s="31"/>
      <c r="F333" s="15">
        <v>163110000</v>
      </c>
      <c r="G333" s="15">
        <v>167951200</v>
      </c>
      <c r="H333" s="15">
        <v>166243400</v>
      </c>
      <c r="I333" s="15">
        <v>242653400</v>
      </c>
      <c r="J333" s="15">
        <v>259647000</v>
      </c>
      <c r="K333" s="15">
        <v>565128100</v>
      </c>
      <c r="L333" s="165">
        <v>167685300</v>
      </c>
      <c r="M333" s="51">
        <f t="shared" si="10"/>
        <v>1732418400</v>
      </c>
      <c r="N333" s="52">
        <f t="shared" si="11"/>
        <v>0.67756914053434147</v>
      </c>
    </row>
    <row r="334" spans="1:14" ht="25.75">
      <c r="A334" s="147" t="s">
        <v>265</v>
      </c>
      <c r="B334" s="9" t="s">
        <v>266</v>
      </c>
      <c r="C334" s="11">
        <v>2556814200</v>
      </c>
      <c r="D334" s="11">
        <v>2556814200</v>
      </c>
      <c r="E334" s="27"/>
      <c r="F334" s="11">
        <v>163110000</v>
      </c>
      <c r="G334" s="11">
        <v>167951200</v>
      </c>
      <c r="H334" s="11">
        <v>166243400</v>
      </c>
      <c r="I334" s="11">
        <v>242653400</v>
      </c>
      <c r="J334" s="11">
        <v>259647000</v>
      </c>
      <c r="K334" s="11">
        <v>565128100</v>
      </c>
      <c r="L334" s="155">
        <v>167685300</v>
      </c>
      <c r="M334" s="51">
        <f t="shared" si="10"/>
        <v>1732418400</v>
      </c>
      <c r="N334" s="52">
        <f t="shared" si="11"/>
        <v>0.67756914053434147</v>
      </c>
    </row>
    <row r="335" spans="1:14">
      <c r="A335" s="149" t="s">
        <v>267</v>
      </c>
      <c r="B335" s="17" t="s">
        <v>268</v>
      </c>
      <c r="C335" s="18">
        <v>55383000</v>
      </c>
      <c r="D335" s="18">
        <v>55383000</v>
      </c>
      <c r="E335" s="28"/>
      <c r="F335" s="18">
        <v>1200000</v>
      </c>
      <c r="G335" s="18">
        <v>3100000</v>
      </c>
      <c r="H335" s="18">
        <v>3813400</v>
      </c>
      <c r="I335" s="18">
        <v>25008000</v>
      </c>
      <c r="J335" s="18">
        <v>1846000</v>
      </c>
      <c r="K335" s="18">
        <v>2033400</v>
      </c>
      <c r="L335" s="157">
        <v>4283400</v>
      </c>
      <c r="M335" s="51">
        <f t="shared" si="10"/>
        <v>41284200</v>
      </c>
      <c r="N335" s="52">
        <f t="shared" si="11"/>
        <v>0.74543090840149506</v>
      </c>
    </row>
    <row r="336" spans="1:14">
      <c r="A336" s="150" t="s">
        <v>24</v>
      </c>
      <c r="B336" s="19" t="s">
        <v>25</v>
      </c>
      <c r="C336" s="21">
        <v>55383000</v>
      </c>
      <c r="D336" s="21">
        <v>55383000</v>
      </c>
      <c r="E336" s="30"/>
      <c r="F336" s="21">
        <v>1200000</v>
      </c>
      <c r="G336" s="21">
        <v>3100000</v>
      </c>
      <c r="H336" s="21">
        <v>3813400</v>
      </c>
      <c r="I336" s="21">
        <v>25008000</v>
      </c>
      <c r="J336" s="21">
        <v>1846000</v>
      </c>
      <c r="K336" s="21">
        <v>2033400</v>
      </c>
      <c r="L336" s="163">
        <v>4283400</v>
      </c>
      <c r="M336" s="51">
        <f t="shared" si="10"/>
        <v>41284200</v>
      </c>
      <c r="N336" s="52">
        <f t="shared" si="11"/>
        <v>0.74543090840149506</v>
      </c>
    </row>
    <row r="337" spans="1:14">
      <c r="A337" s="151" t="s">
        <v>26</v>
      </c>
      <c r="B337" s="23" t="s">
        <v>27</v>
      </c>
      <c r="C337" s="25">
        <v>10685000</v>
      </c>
      <c r="D337" s="25">
        <v>10685000</v>
      </c>
      <c r="E337" s="29"/>
      <c r="F337" s="25">
        <v>0</v>
      </c>
      <c r="G337" s="25">
        <v>0</v>
      </c>
      <c r="H337" s="25">
        <v>713400</v>
      </c>
      <c r="I337" s="25">
        <v>4808000</v>
      </c>
      <c r="J337" s="25">
        <v>646000</v>
      </c>
      <c r="K337" s="25">
        <v>833400</v>
      </c>
      <c r="L337" s="160">
        <v>1183400</v>
      </c>
      <c r="M337" s="51">
        <f t="shared" si="10"/>
        <v>8184200</v>
      </c>
      <c r="N337" s="52">
        <f t="shared" si="11"/>
        <v>0.76595226953673379</v>
      </c>
    </row>
    <row r="338" spans="1:14">
      <c r="A338" s="149" t="s">
        <v>28</v>
      </c>
      <c r="B338" s="17" t="s">
        <v>29</v>
      </c>
      <c r="C338" s="18">
        <v>10685000</v>
      </c>
      <c r="D338" s="18">
        <v>10685000</v>
      </c>
      <c r="E338" s="28"/>
      <c r="F338" s="18">
        <v>0</v>
      </c>
      <c r="G338" s="18">
        <v>0</v>
      </c>
      <c r="H338" s="18">
        <v>713400</v>
      </c>
      <c r="I338" s="18">
        <v>4808000</v>
      </c>
      <c r="J338" s="18">
        <v>646000</v>
      </c>
      <c r="K338" s="18">
        <v>833400</v>
      </c>
      <c r="L338" s="157">
        <v>1183400</v>
      </c>
      <c r="M338" s="51">
        <f t="shared" si="10"/>
        <v>8184200</v>
      </c>
      <c r="N338" s="52">
        <f t="shared" si="11"/>
        <v>0.76595226953673379</v>
      </c>
    </row>
    <row r="339" spans="1:14">
      <c r="A339" s="149" t="s">
        <v>30</v>
      </c>
      <c r="B339" s="17" t="s">
        <v>31</v>
      </c>
      <c r="C339" s="18">
        <v>3423000</v>
      </c>
      <c r="D339" s="18">
        <v>3423000</v>
      </c>
      <c r="E339" s="28"/>
      <c r="F339" s="18">
        <v>0</v>
      </c>
      <c r="G339" s="18">
        <v>0</v>
      </c>
      <c r="H339" s="18">
        <v>511000</v>
      </c>
      <c r="I339" s="18">
        <v>0</v>
      </c>
      <c r="J339" s="18">
        <v>596000</v>
      </c>
      <c r="K339" s="18">
        <v>0</v>
      </c>
      <c r="L339" s="157">
        <v>752400</v>
      </c>
      <c r="M339" s="51">
        <f t="shared" si="10"/>
        <v>1859400</v>
      </c>
      <c r="N339" s="52">
        <f t="shared" si="11"/>
        <v>0.54320771253286593</v>
      </c>
    </row>
    <row r="340" spans="1:14">
      <c r="A340" s="149" t="s">
        <v>32</v>
      </c>
      <c r="B340" s="17" t="s">
        <v>33</v>
      </c>
      <c r="C340" s="18">
        <v>841400</v>
      </c>
      <c r="D340" s="18">
        <v>841400</v>
      </c>
      <c r="E340" s="28"/>
      <c r="F340" s="18">
        <v>0</v>
      </c>
      <c r="G340" s="18">
        <v>0</v>
      </c>
      <c r="H340" s="18">
        <v>152400</v>
      </c>
      <c r="I340" s="18">
        <v>308000</v>
      </c>
      <c r="J340" s="18">
        <v>0</v>
      </c>
      <c r="K340" s="18">
        <v>0</v>
      </c>
      <c r="L340" s="157">
        <v>381000</v>
      </c>
      <c r="M340" s="51">
        <f t="shared" si="10"/>
        <v>841400</v>
      </c>
      <c r="N340" s="52">
        <f t="shared" si="11"/>
        <v>1</v>
      </c>
    </row>
    <row r="341" spans="1:14">
      <c r="A341" s="149" t="s">
        <v>237</v>
      </c>
      <c r="B341" s="17" t="s">
        <v>238</v>
      </c>
      <c r="C341" s="18">
        <v>240000</v>
      </c>
      <c r="D341" s="18">
        <v>240000</v>
      </c>
      <c r="E341" s="28"/>
      <c r="F341" s="18">
        <v>0</v>
      </c>
      <c r="G341" s="18">
        <v>0</v>
      </c>
      <c r="H341" s="18">
        <v>50000</v>
      </c>
      <c r="I341" s="18">
        <v>0</v>
      </c>
      <c r="J341" s="18">
        <v>50000</v>
      </c>
      <c r="K341" s="18">
        <v>0</v>
      </c>
      <c r="L341" s="157">
        <v>50000</v>
      </c>
      <c r="M341" s="51">
        <f t="shared" si="10"/>
        <v>150000</v>
      </c>
      <c r="N341" s="52">
        <f t="shared" si="11"/>
        <v>0.625</v>
      </c>
    </row>
    <row r="342" spans="1:14">
      <c r="A342" s="149" t="s">
        <v>34</v>
      </c>
      <c r="B342" s="17" t="s">
        <v>35</v>
      </c>
      <c r="C342" s="18">
        <v>1680600</v>
      </c>
      <c r="D342" s="18">
        <v>1680600</v>
      </c>
      <c r="E342" s="28"/>
      <c r="F342" s="18">
        <v>0</v>
      </c>
      <c r="G342" s="18">
        <v>0</v>
      </c>
      <c r="H342" s="18">
        <v>0</v>
      </c>
      <c r="I342" s="18">
        <v>0</v>
      </c>
      <c r="J342" s="18">
        <v>0</v>
      </c>
      <c r="K342" s="18">
        <v>833400</v>
      </c>
      <c r="L342" s="157">
        <v>0</v>
      </c>
      <c r="M342" s="51">
        <f t="shared" si="10"/>
        <v>833400</v>
      </c>
      <c r="N342" s="52">
        <f t="shared" si="11"/>
        <v>0.49589432345590861</v>
      </c>
    </row>
    <row r="343" spans="1:14">
      <c r="A343" s="149" t="s">
        <v>137</v>
      </c>
      <c r="B343" s="17" t="s">
        <v>138</v>
      </c>
      <c r="C343" s="18">
        <v>4500000</v>
      </c>
      <c r="D343" s="18">
        <v>4500000</v>
      </c>
      <c r="E343" s="28"/>
      <c r="F343" s="18">
        <v>0</v>
      </c>
      <c r="G343" s="18">
        <v>0</v>
      </c>
      <c r="H343" s="18">
        <v>0</v>
      </c>
      <c r="I343" s="18">
        <v>4500000</v>
      </c>
      <c r="J343" s="18">
        <v>0</v>
      </c>
      <c r="K343" s="18">
        <v>0</v>
      </c>
      <c r="L343" s="157">
        <v>0</v>
      </c>
      <c r="M343" s="51">
        <f t="shared" si="10"/>
        <v>4500000</v>
      </c>
      <c r="N343" s="52">
        <f t="shared" si="11"/>
        <v>1</v>
      </c>
    </row>
    <row r="344" spans="1:14">
      <c r="A344" s="151" t="s">
        <v>36</v>
      </c>
      <c r="B344" s="23" t="s">
        <v>37</v>
      </c>
      <c r="C344" s="25">
        <v>14298000</v>
      </c>
      <c r="D344" s="25">
        <v>14298000</v>
      </c>
      <c r="E344" s="29"/>
      <c r="F344" s="25">
        <v>1200000</v>
      </c>
      <c r="G344" s="25">
        <v>1200000</v>
      </c>
      <c r="H344" s="25">
        <v>1200000</v>
      </c>
      <c r="I344" s="25">
        <v>1200000</v>
      </c>
      <c r="J344" s="25">
        <v>1200000</v>
      </c>
      <c r="K344" s="25">
        <v>1200000</v>
      </c>
      <c r="L344" s="160">
        <v>1200000</v>
      </c>
      <c r="M344" s="51">
        <f t="shared" si="10"/>
        <v>8400000</v>
      </c>
      <c r="N344" s="52">
        <f t="shared" si="11"/>
        <v>0.58749475451112043</v>
      </c>
    </row>
    <row r="345" spans="1:14">
      <c r="A345" s="149" t="s">
        <v>38</v>
      </c>
      <c r="B345" s="17" t="s">
        <v>39</v>
      </c>
      <c r="C345" s="18">
        <v>14298000</v>
      </c>
      <c r="D345" s="18">
        <v>14298000</v>
      </c>
      <c r="E345" s="28"/>
      <c r="F345" s="18">
        <v>1200000</v>
      </c>
      <c r="G345" s="18">
        <v>1200000</v>
      </c>
      <c r="H345" s="18">
        <v>1200000</v>
      </c>
      <c r="I345" s="18">
        <v>1200000</v>
      </c>
      <c r="J345" s="18">
        <v>1200000</v>
      </c>
      <c r="K345" s="18">
        <v>1200000</v>
      </c>
      <c r="L345" s="157">
        <v>1200000</v>
      </c>
      <c r="M345" s="51">
        <f t="shared" si="10"/>
        <v>8400000</v>
      </c>
      <c r="N345" s="52">
        <f t="shared" si="11"/>
        <v>0.58749475451112043</v>
      </c>
    </row>
    <row r="346" spans="1:14">
      <c r="A346" s="149" t="s">
        <v>40</v>
      </c>
      <c r="B346" s="17" t="s">
        <v>41</v>
      </c>
      <c r="C346" s="18">
        <v>14298000</v>
      </c>
      <c r="D346" s="18">
        <v>14298000</v>
      </c>
      <c r="E346" s="28"/>
      <c r="F346" s="18">
        <v>1200000</v>
      </c>
      <c r="G346" s="18">
        <v>1200000</v>
      </c>
      <c r="H346" s="18">
        <v>1200000</v>
      </c>
      <c r="I346" s="18">
        <v>1200000</v>
      </c>
      <c r="J346" s="18">
        <v>1200000</v>
      </c>
      <c r="K346" s="18">
        <v>1200000</v>
      </c>
      <c r="L346" s="157">
        <v>1200000</v>
      </c>
      <c r="M346" s="51">
        <f t="shared" si="10"/>
        <v>8400000</v>
      </c>
      <c r="N346" s="52">
        <f t="shared" si="11"/>
        <v>0.58749475451112043</v>
      </c>
    </row>
    <row r="347" spans="1:14">
      <c r="A347" s="151" t="s">
        <v>42</v>
      </c>
      <c r="B347" s="23" t="s">
        <v>43</v>
      </c>
      <c r="C347" s="25">
        <v>30400000</v>
      </c>
      <c r="D347" s="25">
        <v>30400000</v>
      </c>
      <c r="E347" s="29"/>
      <c r="F347" s="25">
        <v>0</v>
      </c>
      <c r="G347" s="25">
        <v>1900000</v>
      </c>
      <c r="H347" s="25">
        <v>1900000</v>
      </c>
      <c r="I347" s="25">
        <v>19000000</v>
      </c>
      <c r="J347" s="25">
        <v>0</v>
      </c>
      <c r="K347" s="25">
        <v>0</v>
      </c>
      <c r="L347" s="160">
        <v>1900000</v>
      </c>
      <c r="M347" s="51">
        <f t="shared" si="10"/>
        <v>24700000</v>
      </c>
      <c r="N347" s="52">
        <f t="shared" si="11"/>
        <v>0.8125</v>
      </c>
    </row>
    <row r="348" spans="1:14">
      <c r="A348" s="149" t="s">
        <v>44</v>
      </c>
      <c r="B348" s="17" t="s">
        <v>45</v>
      </c>
      <c r="C348" s="18">
        <v>30400000</v>
      </c>
      <c r="D348" s="18">
        <v>30400000</v>
      </c>
      <c r="E348" s="28"/>
      <c r="F348" s="18">
        <v>0</v>
      </c>
      <c r="G348" s="18">
        <v>1900000</v>
      </c>
      <c r="H348" s="18">
        <v>1900000</v>
      </c>
      <c r="I348" s="18">
        <v>19000000</v>
      </c>
      <c r="J348" s="18">
        <v>0</v>
      </c>
      <c r="K348" s="18">
        <v>0</v>
      </c>
      <c r="L348" s="157">
        <v>1900000</v>
      </c>
      <c r="M348" s="51">
        <f t="shared" si="10"/>
        <v>24700000</v>
      </c>
      <c r="N348" s="52">
        <f t="shared" si="11"/>
        <v>0.8125</v>
      </c>
    </row>
    <row r="349" spans="1:14">
      <c r="A349" s="149" t="s">
        <v>46</v>
      </c>
      <c r="B349" s="17" t="s">
        <v>47</v>
      </c>
      <c r="C349" s="18">
        <v>30400000</v>
      </c>
      <c r="D349" s="18">
        <v>30400000</v>
      </c>
      <c r="E349" s="28"/>
      <c r="F349" s="18">
        <v>0</v>
      </c>
      <c r="G349" s="18">
        <v>1900000</v>
      </c>
      <c r="H349" s="18">
        <v>1900000</v>
      </c>
      <c r="I349" s="18">
        <v>19000000</v>
      </c>
      <c r="J349" s="18">
        <v>0</v>
      </c>
      <c r="K349" s="18">
        <v>0</v>
      </c>
      <c r="L349" s="157">
        <v>1900000</v>
      </c>
      <c r="M349" s="51">
        <f t="shared" si="10"/>
        <v>24700000</v>
      </c>
      <c r="N349" s="52">
        <f t="shared" si="11"/>
        <v>0.8125</v>
      </c>
    </row>
    <row r="350" spans="1:14">
      <c r="A350" s="149" t="s">
        <v>269</v>
      </c>
      <c r="B350" s="17" t="s">
        <v>270</v>
      </c>
      <c r="C350" s="18">
        <v>1643639900</v>
      </c>
      <c r="D350" s="18">
        <v>1643639900</v>
      </c>
      <c r="E350" s="28"/>
      <c r="F350" s="18">
        <v>136910000</v>
      </c>
      <c r="G350" s="18">
        <v>136910000</v>
      </c>
      <c r="H350" s="18">
        <v>136910000</v>
      </c>
      <c r="I350" s="18">
        <v>137278100</v>
      </c>
      <c r="J350" s="18">
        <v>137261800</v>
      </c>
      <c r="K350" s="18">
        <v>136910000</v>
      </c>
      <c r="L350" s="157">
        <v>136910000</v>
      </c>
      <c r="M350" s="51">
        <f t="shared" si="10"/>
        <v>959089900</v>
      </c>
      <c r="N350" s="52">
        <f t="shared" si="11"/>
        <v>0.58351582971428229</v>
      </c>
    </row>
    <row r="351" spans="1:14">
      <c r="A351" s="150" t="s">
        <v>24</v>
      </c>
      <c r="B351" s="19" t="s">
        <v>25</v>
      </c>
      <c r="C351" s="21">
        <v>1643639900</v>
      </c>
      <c r="D351" s="21">
        <v>1643639900</v>
      </c>
      <c r="E351" s="30"/>
      <c r="F351" s="21">
        <v>136910000</v>
      </c>
      <c r="G351" s="21">
        <v>136910000</v>
      </c>
      <c r="H351" s="21">
        <v>136910000</v>
      </c>
      <c r="I351" s="21">
        <v>137278100</v>
      </c>
      <c r="J351" s="21">
        <v>137261800</v>
      </c>
      <c r="K351" s="21">
        <v>136910000</v>
      </c>
      <c r="L351" s="163">
        <v>136910000</v>
      </c>
      <c r="M351" s="51">
        <f t="shared" si="10"/>
        <v>959089900</v>
      </c>
      <c r="N351" s="52">
        <f t="shared" si="11"/>
        <v>0.58351582971428229</v>
      </c>
    </row>
    <row r="352" spans="1:14">
      <c r="A352" s="151" t="s">
        <v>26</v>
      </c>
      <c r="B352" s="23" t="s">
        <v>27</v>
      </c>
      <c r="C352" s="25">
        <v>719900</v>
      </c>
      <c r="D352" s="25">
        <v>719900</v>
      </c>
      <c r="E352" s="29"/>
      <c r="F352" s="25">
        <v>0</v>
      </c>
      <c r="G352" s="25">
        <v>0</v>
      </c>
      <c r="H352" s="25">
        <v>0</v>
      </c>
      <c r="I352" s="25">
        <v>368100</v>
      </c>
      <c r="J352" s="25">
        <v>351800</v>
      </c>
      <c r="K352" s="25">
        <v>0</v>
      </c>
      <c r="L352" s="160">
        <v>0</v>
      </c>
      <c r="M352" s="51">
        <f t="shared" si="10"/>
        <v>719900</v>
      </c>
      <c r="N352" s="52">
        <f t="shared" si="11"/>
        <v>1</v>
      </c>
    </row>
    <row r="353" spans="1:14">
      <c r="A353" s="149" t="s">
        <v>28</v>
      </c>
      <c r="B353" s="17" t="s">
        <v>29</v>
      </c>
      <c r="C353" s="18">
        <v>719900</v>
      </c>
      <c r="D353" s="18">
        <v>719900</v>
      </c>
      <c r="E353" s="28"/>
      <c r="F353" s="18">
        <v>0</v>
      </c>
      <c r="G353" s="18">
        <v>0</v>
      </c>
      <c r="H353" s="18">
        <v>0</v>
      </c>
      <c r="I353" s="18">
        <v>368100</v>
      </c>
      <c r="J353" s="18">
        <v>351800</v>
      </c>
      <c r="K353" s="18">
        <v>0</v>
      </c>
      <c r="L353" s="157">
        <v>0</v>
      </c>
      <c r="M353" s="51">
        <f t="shared" si="10"/>
        <v>719900</v>
      </c>
      <c r="N353" s="52">
        <f t="shared" si="11"/>
        <v>1</v>
      </c>
    </row>
    <row r="354" spans="1:14">
      <c r="A354" s="149" t="s">
        <v>30</v>
      </c>
      <c r="B354" s="17" t="s">
        <v>31</v>
      </c>
      <c r="C354" s="18">
        <v>368100</v>
      </c>
      <c r="D354" s="18">
        <v>368100</v>
      </c>
      <c r="E354" s="28"/>
      <c r="F354" s="18">
        <v>0</v>
      </c>
      <c r="G354" s="18">
        <v>0</v>
      </c>
      <c r="H354" s="18">
        <v>0</v>
      </c>
      <c r="I354" s="18">
        <v>368100</v>
      </c>
      <c r="J354" s="18">
        <v>0</v>
      </c>
      <c r="K354" s="18">
        <v>0</v>
      </c>
      <c r="L354" s="157">
        <v>0</v>
      </c>
      <c r="M354" s="51">
        <f t="shared" si="10"/>
        <v>368100</v>
      </c>
      <c r="N354" s="52">
        <f t="shared" si="11"/>
        <v>1</v>
      </c>
    </row>
    <row r="355" spans="1:14">
      <c r="A355" s="149" t="s">
        <v>32</v>
      </c>
      <c r="B355" s="17" t="s">
        <v>33</v>
      </c>
      <c r="C355" s="18">
        <v>351800</v>
      </c>
      <c r="D355" s="18">
        <v>351800</v>
      </c>
      <c r="E355" s="28"/>
      <c r="F355" s="18">
        <v>0</v>
      </c>
      <c r="G355" s="18">
        <v>0</v>
      </c>
      <c r="H355" s="18">
        <v>0</v>
      </c>
      <c r="I355" s="18">
        <v>0</v>
      </c>
      <c r="J355" s="18">
        <v>351800</v>
      </c>
      <c r="K355" s="18">
        <v>0</v>
      </c>
      <c r="L355" s="157">
        <v>0</v>
      </c>
      <c r="M355" s="51">
        <f t="shared" si="10"/>
        <v>351800</v>
      </c>
      <c r="N355" s="52">
        <f t="shared" si="11"/>
        <v>1</v>
      </c>
    </row>
    <row r="356" spans="1:14">
      <c r="A356" s="151" t="s">
        <v>36</v>
      </c>
      <c r="B356" s="23" t="s">
        <v>37</v>
      </c>
      <c r="C356" s="25">
        <v>1642920000</v>
      </c>
      <c r="D356" s="25">
        <v>1642920000</v>
      </c>
      <c r="E356" s="29"/>
      <c r="F356" s="25">
        <v>136910000</v>
      </c>
      <c r="G356" s="25">
        <v>136910000</v>
      </c>
      <c r="H356" s="25">
        <v>136910000</v>
      </c>
      <c r="I356" s="25">
        <v>136910000</v>
      </c>
      <c r="J356" s="25">
        <v>136910000</v>
      </c>
      <c r="K356" s="25">
        <v>136910000</v>
      </c>
      <c r="L356" s="160">
        <v>136910000</v>
      </c>
      <c r="M356" s="51">
        <f t="shared" ref="M356:M415" si="12">SUM(F356:L356)</f>
        <v>958370000</v>
      </c>
      <c r="N356" s="52">
        <f t="shared" ref="N356:N415" si="13">M356/D356*100%</f>
        <v>0.58333333333333337</v>
      </c>
    </row>
    <row r="357" spans="1:14">
      <c r="A357" s="149" t="s">
        <v>38</v>
      </c>
      <c r="B357" s="17" t="s">
        <v>39</v>
      </c>
      <c r="C357" s="18">
        <v>1642920000</v>
      </c>
      <c r="D357" s="18">
        <v>1642920000</v>
      </c>
      <c r="E357" s="28"/>
      <c r="F357" s="18">
        <v>136910000</v>
      </c>
      <c r="G357" s="18">
        <v>136910000</v>
      </c>
      <c r="H357" s="18">
        <v>136910000</v>
      </c>
      <c r="I357" s="18">
        <v>136910000</v>
      </c>
      <c r="J357" s="18">
        <v>136910000</v>
      </c>
      <c r="K357" s="18">
        <v>136910000</v>
      </c>
      <c r="L357" s="157">
        <v>136910000</v>
      </c>
      <c r="M357" s="51">
        <f t="shared" si="12"/>
        <v>958370000</v>
      </c>
      <c r="N357" s="52">
        <f t="shared" si="13"/>
        <v>0.58333333333333337</v>
      </c>
    </row>
    <row r="358" spans="1:14">
      <c r="A358" s="149" t="s">
        <v>271</v>
      </c>
      <c r="B358" s="17" t="s">
        <v>272</v>
      </c>
      <c r="C358" s="18">
        <v>1620000000</v>
      </c>
      <c r="D358" s="18">
        <v>1620000000</v>
      </c>
      <c r="E358" s="28"/>
      <c r="F358" s="18">
        <v>135000000</v>
      </c>
      <c r="G358" s="18">
        <v>135000000</v>
      </c>
      <c r="H358" s="18">
        <v>135000000</v>
      </c>
      <c r="I358" s="18">
        <v>135000000</v>
      </c>
      <c r="J358" s="18">
        <v>135000000</v>
      </c>
      <c r="K358" s="18">
        <v>135000000</v>
      </c>
      <c r="L358" s="157">
        <v>135000000</v>
      </c>
      <c r="M358" s="51">
        <f t="shared" si="12"/>
        <v>945000000</v>
      </c>
      <c r="N358" s="52">
        <f t="shared" si="13"/>
        <v>0.58333333333333337</v>
      </c>
    </row>
    <row r="359" spans="1:14">
      <c r="A359" s="149" t="s">
        <v>112</v>
      </c>
      <c r="B359" s="17" t="s">
        <v>113</v>
      </c>
      <c r="C359" s="18">
        <v>22920000</v>
      </c>
      <c r="D359" s="18">
        <v>22920000</v>
      </c>
      <c r="E359" s="28"/>
      <c r="F359" s="18">
        <v>1910000</v>
      </c>
      <c r="G359" s="18">
        <v>1910000</v>
      </c>
      <c r="H359" s="18">
        <v>1910000</v>
      </c>
      <c r="I359" s="18">
        <v>1910000</v>
      </c>
      <c r="J359" s="18">
        <v>1910000</v>
      </c>
      <c r="K359" s="18">
        <v>1910000</v>
      </c>
      <c r="L359" s="157">
        <v>1910000</v>
      </c>
      <c r="M359" s="51">
        <f t="shared" si="12"/>
        <v>13370000</v>
      </c>
      <c r="N359" s="52">
        <f t="shared" si="13"/>
        <v>0.58333333333333337</v>
      </c>
    </row>
    <row r="360" spans="1:14" ht="38.6">
      <c r="A360" s="149" t="s">
        <v>273</v>
      </c>
      <c r="B360" s="17" t="s">
        <v>274</v>
      </c>
      <c r="C360" s="18">
        <v>557043600</v>
      </c>
      <c r="D360" s="18">
        <v>557043600</v>
      </c>
      <c r="E360" s="28"/>
      <c r="F360" s="18">
        <v>0</v>
      </c>
      <c r="G360" s="18">
        <v>2732800</v>
      </c>
      <c r="H360" s="18">
        <v>520000</v>
      </c>
      <c r="I360" s="18">
        <v>55132800</v>
      </c>
      <c r="J360" s="18">
        <v>95539200</v>
      </c>
      <c r="K360" s="18">
        <v>401184700</v>
      </c>
      <c r="L360" s="157">
        <v>1187100</v>
      </c>
      <c r="M360" s="51">
        <f t="shared" si="12"/>
        <v>556296600</v>
      </c>
      <c r="N360" s="52">
        <f t="shared" si="13"/>
        <v>0.99865899186347351</v>
      </c>
    </row>
    <row r="361" spans="1:14">
      <c r="A361" s="150" t="s">
        <v>24</v>
      </c>
      <c r="B361" s="19" t="s">
        <v>25</v>
      </c>
      <c r="C361" s="21">
        <v>557043600</v>
      </c>
      <c r="D361" s="21">
        <v>557043600</v>
      </c>
      <c r="E361" s="30"/>
      <c r="F361" s="21">
        <v>0</v>
      </c>
      <c r="G361" s="21">
        <v>2732800</v>
      </c>
      <c r="H361" s="21">
        <v>520000</v>
      </c>
      <c r="I361" s="21">
        <v>55132800</v>
      </c>
      <c r="J361" s="21">
        <v>95539200</v>
      </c>
      <c r="K361" s="21">
        <v>401184700</v>
      </c>
      <c r="L361" s="163">
        <v>1187100</v>
      </c>
      <c r="M361" s="51">
        <f t="shared" si="12"/>
        <v>556296600</v>
      </c>
      <c r="N361" s="52">
        <f t="shared" si="13"/>
        <v>0.99865899186347351</v>
      </c>
    </row>
    <row r="362" spans="1:14">
      <c r="A362" s="151" t="s">
        <v>26</v>
      </c>
      <c r="B362" s="23" t="s">
        <v>27</v>
      </c>
      <c r="C362" s="25">
        <v>27393600</v>
      </c>
      <c r="D362" s="25">
        <v>27393600</v>
      </c>
      <c r="E362" s="29"/>
      <c r="F362" s="25">
        <v>0</v>
      </c>
      <c r="G362" s="25">
        <v>632800</v>
      </c>
      <c r="H362" s="25">
        <v>520000</v>
      </c>
      <c r="I362" s="25">
        <v>18632800</v>
      </c>
      <c r="J362" s="25">
        <v>5539200</v>
      </c>
      <c r="K362" s="25">
        <v>134700</v>
      </c>
      <c r="L362" s="160">
        <v>1187100</v>
      </c>
      <c r="M362" s="51">
        <f t="shared" si="12"/>
        <v>26646600</v>
      </c>
      <c r="N362" s="52">
        <f t="shared" si="13"/>
        <v>0.97273085684247418</v>
      </c>
    </row>
    <row r="363" spans="1:14">
      <c r="A363" s="149" t="s">
        <v>28</v>
      </c>
      <c r="B363" s="17" t="s">
        <v>29</v>
      </c>
      <c r="C363" s="18">
        <v>27393600</v>
      </c>
      <c r="D363" s="18">
        <v>27393600</v>
      </c>
      <c r="E363" s="28"/>
      <c r="F363" s="18">
        <v>0</v>
      </c>
      <c r="G363" s="18">
        <v>632800</v>
      </c>
      <c r="H363" s="18">
        <v>520000</v>
      </c>
      <c r="I363" s="18">
        <v>18632800</v>
      </c>
      <c r="J363" s="18">
        <v>5539200</v>
      </c>
      <c r="K363" s="18">
        <v>134700</v>
      </c>
      <c r="L363" s="157">
        <v>1187100</v>
      </c>
      <c r="M363" s="51">
        <f t="shared" si="12"/>
        <v>26646600</v>
      </c>
      <c r="N363" s="52">
        <f t="shared" si="13"/>
        <v>0.97273085684247418</v>
      </c>
    </row>
    <row r="364" spans="1:14">
      <c r="A364" s="149" t="s">
        <v>30</v>
      </c>
      <c r="B364" s="17" t="s">
        <v>31</v>
      </c>
      <c r="C364" s="18">
        <v>1196000</v>
      </c>
      <c r="D364" s="18">
        <v>1196000</v>
      </c>
      <c r="E364" s="28"/>
      <c r="F364" s="18">
        <v>0</v>
      </c>
      <c r="G364" s="18">
        <v>0</v>
      </c>
      <c r="H364" s="18">
        <v>500000</v>
      </c>
      <c r="I364" s="18">
        <v>0</v>
      </c>
      <c r="J364" s="18">
        <v>319200</v>
      </c>
      <c r="K364" s="18">
        <v>134700</v>
      </c>
      <c r="L364" s="157">
        <v>242100</v>
      </c>
      <c r="M364" s="51">
        <f t="shared" si="12"/>
        <v>1196000</v>
      </c>
      <c r="N364" s="52">
        <f t="shared" si="13"/>
        <v>1</v>
      </c>
    </row>
    <row r="365" spans="1:14">
      <c r="A365" s="149" t="s">
        <v>32</v>
      </c>
      <c r="B365" s="17" t="s">
        <v>33</v>
      </c>
      <c r="C365" s="18">
        <v>1759000</v>
      </c>
      <c r="D365" s="18">
        <v>1759000</v>
      </c>
      <c r="E365" s="28"/>
      <c r="F365" s="18">
        <v>0</v>
      </c>
      <c r="G365" s="18">
        <v>308000</v>
      </c>
      <c r="H365" s="18">
        <v>0</v>
      </c>
      <c r="I365" s="18">
        <v>308000</v>
      </c>
      <c r="J365" s="18">
        <v>0</v>
      </c>
      <c r="K365" s="18">
        <v>0</v>
      </c>
      <c r="L365" s="157">
        <v>762000</v>
      </c>
      <c r="M365" s="51">
        <f t="shared" si="12"/>
        <v>1378000</v>
      </c>
      <c r="N365" s="52">
        <f t="shared" si="13"/>
        <v>0.78339965889710061</v>
      </c>
    </row>
    <row r="366" spans="1:14">
      <c r="A366" s="149" t="s">
        <v>237</v>
      </c>
      <c r="B366" s="17" t="s">
        <v>238</v>
      </c>
      <c r="C366" s="18">
        <v>100000</v>
      </c>
      <c r="D366" s="18">
        <v>100000</v>
      </c>
      <c r="E366" s="28"/>
      <c r="F366" s="18">
        <v>0</v>
      </c>
      <c r="G366" s="18">
        <v>0</v>
      </c>
      <c r="H366" s="18">
        <v>20000</v>
      </c>
      <c r="I366" s="18">
        <v>0</v>
      </c>
      <c r="J366" s="18">
        <v>20000</v>
      </c>
      <c r="K366" s="18">
        <v>0</v>
      </c>
      <c r="L366" s="157">
        <v>20000</v>
      </c>
      <c r="M366" s="51">
        <f t="shared" si="12"/>
        <v>60000</v>
      </c>
      <c r="N366" s="52">
        <f t="shared" si="13"/>
        <v>0.6</v>
      </c>
    </row>
    <row r="367" spans="1:14">
      <c r="A367" s="149" t="s">
        <v>34</v>
      </c>
      <c r="B367" s="17" t="s">
        <v>35</v>
      </c>
      <c r="C367" s="18">
        <v>1138600</v>
      </c>
      <c r="D367" s="18">
        <v>1138600</v>
      </c>
      <c r="E367" s="28"/>
      <c r="F367" s="18">
        <v>0</v>
      </c>
      <c r="G367" s="18">
        <v>324800</v>
      </c>
      <c r="H367" s="18">
        <v>0</v>
      </c>
      <c r="I367" s="18">
        <v>324800</v>
      </c>
      <c r="J367" s="18">
        <v>0</v>
      </c>
      <c r="K367" s="18">
        <v>0</v>
      </c>
      <c r="L367" s="157">
        <v>163000</v>
      </c>
      <c r="M367" s="51">
        <f t="shared" si="12"/>
        <v>812600</v>
      </c>
      <c r="N367" s="52">
        <f t="shared" si="13"/>
        <v>0.71368347092921136</v>
      </c>
    </row>
    <row r="368" spans="1:14" ht="25.75">
      <c r="A368" s="149" t="s">
        <v>275</v>
      </c>
      <c r="B368" s="17" t="s">
        <v>276</v>
      </c>
      <c r="C368" s="18">
        <v>5200000</v>
      </c>
      <c r="D368" s="18">
        <v>5200000</v>
      </c>
      <c r="E368" s="28"/>
      <c r="F368" s="18">
        <v>0</v>
      </c>
      <c r="G368" s="18">
        <v>0</v>
      </c>
      <c r="H368" s="18">
        <v>0</v>
      </c>
      <c r="I368" s="18">
        <v>0</v>
      </c>
      <c r="J368" s="18">
        <v>5200000</v>
      </c>
      <c r="K368" s="18">
        <v>0</v>
      </c>
      <c r="L368" s="157">
        <v>0</v>
      </c>
      <c r="M368" s="51">
        <f t="shared" si="12"/>
        <v>5200000</v>
      </c>
      <c r="N368" s="52">
        <f t="shared" si="13"/>
        <v>1</v>
      </c>
    </row>
    <row r="369" spans="1:14">
      <c r="A369" s="149" t="s">
        <v>137</v>
      </c>
      <c r="B369" s="17" t="s">
        <v>138</v>
      </c>
      <c r="C369" s="18">
        <v>18000000</v>
      </c>
      <c r="D369" s="18">
        <v>18000000</v>
      </c>
      <c r="E369" s="28"/>
      <c r="F369" s="18">
        <v>0</v>
      </c>
      <c r="G369" s="18">
        <v>0</v>
      </c>
      <c r="H369" s="18">
        <v>0</v>
      </c>
      <c r="I369" s="18">
        <v>18000000</v>
      </c>
      <c r="J369" s="18">
        <v>0</v>
      </c>
      <c r="K369" s="18">
        <v>0</v>
      </c>
      <c r="L369" s="157">
        <v>0</v>
      </c>
      <c r="M369" s="51">
        <f t="shared" si="12"/>
        <v>18000000</v>
      </c>
      <c r="N369" s="52">
        <f t="shared" si="13"/>
        <v>1</v>
      </c>
    </row>
    <row r="370" spans="1:14">
      <c r="A370" s="151" t="s">
        <v>36</v>
      </c>
      <c r="B370" s="23" t="s">
        <v>37</v>
      </c>
      <c r="C370" s="25">
        <v>513150000</v>
      </c>
      <c r="D370" s="25">
        <v>513150000</v>
      </c>
      <c r="E370" s="29"/>
      <c r="F370" s="25">
        <v>0</v>
      </c>
      <c r="G370" s="25">
        <v>2100000</v>
      </c>
      <c r="H370" s="25">
        <v>0</v>
      </c>
      <c r="I370" s="25">
        <v>20000000</v>
      </c>
      <c r="J370" s="25">
        <v>90000000</v>
      </c>
      <c r="K370" s="25">
        <v>401050000</v>
      </c>
      <c r="L370" s="160">
        <v>0</v>
      </c>
      <c r="M370" s="51">
        <f t="shared" si="12"/>
        <v>513150000</v>
      </c>
      <c r="N370" s="52">
        <f t="shared" si="13"/>
        <v>1</v>
      </c>
    </row>
    <row r="371" spans="1:14">
      <c r="A371" s="149" t="s">
        <v>38</v>
      </c>
      <c r="B371" s="17" t="s">
        <v>39</v>
      </c>
      <c r="C371" s="18">
        <v>403150000</v>
      </c>
      <c r="D371" s="18">
        <v>403150000</v>
      </c>
      <c r="E371" s="28"/>
      <c r="F371" s="18">
        <v>0</v>
      </c>
      <c r="G371" s="18">
        <v>2100000</v>
      </c>
      <c r="H371" s="18">
        <v>0</v>
      </c>
      <c r="I371" s="18">
        <v>0</v>
      </c>
      <c r="J371" s="18">
        <v>0</v>
      </c>
      <c r="K371" s="18">
        <v>401050000</v>
      </c>
      <c r="L371" s="157">
        <v>0</v>
      </c>
      <c r="M371" s="51">
        <f t="shared" si="12"/>
        <v>403150000</v>
      </c>
      <c r="N371" s="52">
        <f t="shared" si="13"/>
        <v>1</v>
      </c>
    </row>
    <row r="372" spans="1:14">
      <c r="A372" s="149" t="s">
        <v>255</v>
      </c>
      <c r="B372" s="17" t="s">
        <v>256</v>
      </c>
      <c r="C372" s="18">
        <v>402100000</v>
      </c>
      <c r="D372" s="18">
        <v>402100000</v>
      </c>
      <c r="E372" s="28"/>
      <c r="F372" s="18">
        <v>0</v>
      </c>
      <c r="G372" s="18">
        <v>2100000</v>
      </c>
      <c r="H372" s="18">
        <v>0</v>
      </c>
      <c r="I372" s="18">
        <v>0</v>
      </c>
      <c r="J372" s="18">
        <v>0</v>
      </c>
      <c r="K372" s="18">
        <v>400000000</v>
      </c>
      <c r="L372" s="157">
        <v>0</v>
      </c>
      <c r="M372" s="51">
        <f t="shared" si="12"/>
        <v>402100000</v>
      </c>
      <c r="N372" s="52">
        <f t="shared" si="13"/>
        <v>1</v>
      </c>
    </row>
    <row r="373" spans="1:14">
      <c r="A373" s="149" t="s">
        <v>271</v>
      </c>
      <c r="B373" s="17" t="s">
        <v>272</v>
      </c>
      <c r="C373" s="18">
        <v>1050000</v>
      </c>
      <c r="D373" s="18">
        <v>1050000</v>
      </c>
      <c r="E373" s="28"/>
      <c r="F373" s="18">
        <v>0</v>
      </c>
      <c r="G373" s="18">
        <v>0</v>
      </c>
      <c r="H373" s="18">
        <v>0</v>
      </c>
      <c r="I373" s="18">
        <v>0</v>
      </c>
      <c r="J373" s="18">
        <v>0</v>
      </c>
      <c r="K373" s="18">
        <v>1050000</v>
      </c>
      <c r="L373" s="157">
        <v>0</v>
      </c>
      <c r="M373" s="51">
        <f t="shared" si="12"/>
        <v>1050000</v>
      </c>
      <c r="N373" s="52">
        <f t="shared" si="13"/>
        <v>1</v>
      </c>
    </row>
    <row r="374" spans="1:14">
      <c r="A374" s="149" t="s">
        <v>277</v>
      </c>
      <c r="B374" s="17" t="s">
        <v>278</v>
      </c>
      <c r="C374" s="18">
        <v>20000000</v>
      </c>
      <c r="D374" s="18">
        <v>20000000</v>
      </c>
      <c r="E374" s="28"/>
      <c r="F374" s="18">
        <v>0</v>
      </c>
      <c r="G374" s="18">
        <v>0</v>
      </c>
      <c r="H374" s="18">
        <v>0</v>
      </c>
      <c r="I374" s="18">
        <v>20000000</v>
      </c>
      <c r="J374" s="18">
        <v>0</v>
      </c>
      <c r="K374" s="18">
        <v>0</v>
      </c>
      <c r="L374" s="157">
        <v>0</v>
      </c>
      <c r="M374" s="51">
        <f t="shared" si="12"/>
        <v>20000000</v>
      </c>
      <c r="N374" s="52">
        <f t="shared" si="13"/>
        <v>1</v>
      </c>
    </row>
    <row r="375" spans="1:14">
      <c r="A375" s="149" t="s">
        <v>279</v>
      </c>
      <c r="B375" s="17" t="s">
        <v>280</v>
      </c>
      <c r="C375" s="18">
        <v>20000000</v>
      </c>
      <c r="D375" s="18">
        <v>20000000</v>
      </c>
      <c r="E375" s="28"/>
      <c r="F375" s="18">
        <v>0</v>
      </c>
      <c r="G375" s="18">
        <v>0</v>
      </c>
      <c r="H375" s="18">
        <v>0</v>
      </c>
      <c r="I375" s="18">
        <v>20000000</v>
      </c>
      <c r="J375" s="18">
        <v>0</v>
      </c>
      <c r="K375" s="18">
        <v>0</v>
      </c>
      <c r="L375" s="157">
        <v>0</v>
      </c>
      <c r="M375" s="51">
        <f t="shared" si="12"/>
        <v>20000000</v>
      </c>
      <c r="N375" s="52">
        <f t="shared" si="13"/>
        <v>1</v>
      </c>
    </row>
    <row r="376" spans="1:14">
      <c r="A376" s="149" t="s">
        <v>281</v>
      </c>
      <c r="B376" s="17" t="s">
        <v>282</v>
      </c>
      <c r="C376" s="18">
        <v>90000000</v>
      </c>
      <c r="D376" s="18">
        <v>90000000</v>
      </c>
      <c r="E376" s="28"/>
      <c r="F376" s="18">
        <v>0</v>
      </c>
      <c r="G376" s="18">
        <v>0</v>
      </c>
      <c r="H376" s="18">
        <v>0</v>
      </c>
      <c r="I376" s="18">
        <v>0</v>
      </c>
      <c r="J376" s="18">
        <v>90000000</v>
      </c>
      <c r="K376" s="18">
        <v>0</v>
      </c>
      <c r="L376" s="157">
        <v>0</v>
      </c>
      <c r="M376" s="51">
        <f t="shared" si="12"/>
        <v>90000000</v>
      </c>
      <c r="N376" s="52">
        <f t="shared" si="13"/>
        <v>1</v>
      </c>
    </row>
    <row r="377" spans="1:14">
      <c r="A377" s="149" t="s">
        <v>283</v>
      </c>
      <c r="B377" s="17" t="s">
        <v>284</v>
      </c>
      <c r="C377" s="18">
        <v>90000000</v>
      </c>
      <c r="D377" s="18">
        <v>90000000</v>
      </c>
      <c r="E377" s="28"/>
      <c r="F377" s="18">
        <v>0</v>
      </c>
      <c r="G377" s="18">
        <v>0</v>
      </c>
      <c r="H377" s="18">
        <v>0</v>
      </c>
      <c r="I377" s="18">
        <v>0</v>
      </c>
      <c r="J377" s="18">
        <v>90000000</v>
      </c>
      <c r="K377" s="18">
        <v>0</v>
      </c>
      <c r="L377" s="157">
        <v>0</v>
      </c>
      <c r="M377" s="51">
        <f t="shared" si="12"/>
        <v>90000000</v>
      </c>
      <c r="N377" s="52">
        <f t="shared" si="13"/>
        <v>1</v>
      </c>
    </row>
    <row r="378" spans="1:14" ht="25.75">
      <c r="A378" s="151" t="s">
        <v>175</v>
      </c>
      <c r="B378" s="23" t="s">
        <v>176</v>
      </c>
      <c r="C378" s="25">
        <v>16500000</v>
      </c>
      <c r="D378" s="25">
        <v>16500000</v>
      </c>
      <c r="E378" s="29"/>
      <c r="F378" s="25">
        <v>0</v>
      </c>
      <c r="G378" s="25">
        <v>0</v>
      </c>
      <c r="H378" s="25">
        <v>0</v>
      </c>
      <c r="I378" s="25">
        <v>16500000</v>
      </c>
      <c r="J378" s="25">
        <v>0</v>
      </c>
      <c r="K378" s="25">
        <v>0</v>
      </c>
      <c r="L378" s="160">
        <v>0</v>
      </c>
      <c r="M378" s="51">
        <f t="shared" si="12"/>
        <v>16500000</v>
      </c>
      <c r="N378" s="52">
        <f t="shared" si="13"/>
        <v>1</v>
      </c>
    </row>
    <row r="379" spans="1:14" ht="25.75">
      <c r="A379" s="149" t="s">
        <v>177</v>
      </c>
      <c r="B379" s="17" t="s">
        <v>178</v>
      </c>
      <c r="C379" s="18">
        <v>16500000</v>
      </c>
      <c r="D379" s="18">
        <v>16500000</v>
      </c>
      <c r="E379" s="28"/>
      <c r="F379" s="18">
        <v>0</v>
      </c>
      <c r="G379" s="18">
        <v>0</v>
      </c>
      <c r="H379" s="18">
        <v>0</v>
      </c>
      <c r="I379" s="18">
        <v>16500000</v>
      </c>
      <c r="J379" s="18">
        <v>0</v>
      </c>
      <c r="K379" s="18">
        <v>0</v>
      </c>
      <c r="L379" s="157">
        <v>0</v>
      </c>
      <c r="M379" s="51">
        <f t="shared" si="12"/>
        <v>16500000</v>
      </c>
      <c r="N379" s="52">
        <f t="shared" si="13"/>
        <v>1</v>
      </c>
    </row>
    <row r="380" spans="1:14">
      <c r="A380" s="149" t="s">
        <v>179</v>
      </c>
      <c r="B380" s="17" t="s">
        <v>180</v>
      </c>
      <c r="C380" s="18">
        <v>16500000</v>
      </c>
      <c r="D380" s="18">
        <v>16500000</v>
      </c>
      <c r="E380" s="28"/>
      <c r="F380" s="18">
        <v>0</v>
      </c>
      <c r="G380" s="18">
        <v>0</v>
      </c>
      <c r="H380" s="18">
        <v>0</v>
      </c>
      <c r="I380" s="18">
        <v>16500000</v>
      </c>
      <c r="J380" s="18">
        <v>0</v>
      </c>
      <c r="K380" s="18">
        <v>0</v>
      </c>
      <c r="L380" s="157">
        <v>0</v>
      </c>
      <c r="M380" s="51">
        <f t="shared" si="12"/>
        <v>16500000</v>
      </c>
      <c r="N380" s="52">
        <f t="shared" si="13"/>
        <v>1</v>
      </c>
    </row>
    <row r="381" spans="1:14" ht="25.75">
      <c r="A381" s="149" t="s">
        <v>285</v>
      </c>
      <c r="B381" s="17" t="s">
        <v>286</v>
      </c>
      <c r="C381" s="18">
        <v>300747700</v>
      </c>
      <c r="D381" s="18">
        <v>300747700</v>
      </c>
      <c r="E381" s="28"/>
      <c r="F381" s="18">
        <v>25000000</v>
      </c>
      <c r="G381" s="18">
        <v>25208400</v>
      </c>
      <c r="H381" s="18">
        <v>25000000</v>
      </c>
      <c r="I381" s="18">
        <v>25234500</v>
      </c>
      <c r="J381" s="18">
        <v>25000000</v>
      </c>
      <c r="K381" s="18">
        <v>25000000</v>
      </c>
      <c r="L381" s="157">
        <v>25304800</v>
      </c>
      <c r="M381" s="51">
        <f t="shared" si="12"/>
        <v>175747700</v>
      </c>
      <c r="N381" s="52">
        <f t="shared" si="13"/>
        <v>0.58436922377128742</v>
      </c>
    </row>
    <row r="382" spans="1:14">
      <c r="A382" s="150" t="s">
        <v>24</v>
      </c>
      <c r="B382" s="19" t="s">
        <v>25</v>
      </c>
      <c r="C382" s="21">
        <v>300747700</v>
      </c>
      <c r="D382" s="21">
        <v>300747700</v>
      </c>
      <c r="E382" s="30"/>
      <c r="F382" s="21">
        <v>25000000</v>
      </c>
      <c r="G382" s="21">
        <v>25208400</v>
      </c>
      <c r="H382" s="21">
        <v>25000000</v>
      </c>
      <c r="I382" s="21">
        <v>25234500</v>
      </c>
      <c r="J382" s="21">
        <v>25000000</v>
      </c>
      <c r="K382" s="21">
        <v>25000000</v>
      </c>
      <c r="L382" s="163">
        <v>25304800</v>
      </c>
      <c r="M382" s="51">
        <f t="shared" si="12"/>
        <v>175747700</v>
      </c>
      <c r="N382" s="52">
        <f t="shared" si="13"/>
        <v>0.58436922377128742</v>
      </c>
    </row>
    <row r="383" spans="1:14">
      <c r="A383" s="151" t="s">
        <v>26</v>
      </c>
      <c r="B383" s="23" t="s">
        <v>27</v>
      </c>
      <c r="C383" s="25">
        <v>747700</v>
      </c>
      <c r="D383" s="25">
        <v>747700</v>
      </c>
      <c r="E383" s="29"/>
      <c r="F383" s="25">
        <v>0</v>
      </c>
      <c r="G383" s="25">
        <v>208400</v>
      </c>
      <c r="H383" s="25">
        <v>0</v>
      </c>
      <c r="I383" s="25">
        <v>234500</v>
      </c>
      <c r="J383" s="25">
        <v>0</v>
      </c>
      <c r="K383" s="25">
        <v>0</v>
      </c>
      <c r="L383" s="160">
        <v>304800</v>
      </c>
      <c r="M383" s="51">
        <f t="shared" si="12"/>
        <v>747700</v>
      </c>
      <c r="N383" s="52">
        <f t="shared" si="13"/>
        <v>1</v>
      </c>
    </row>
    <row r="384" spans="1:14">
      <c r="A384" s="149" t="s">
        <v>28</v>
      </c>
      <c r="B384" s="17" t="s">
        <v>29</v>
      </c>
      <c r="C384" s="18">
        <v>747700</v>
      </c>
      <c r="D384" s="18">
        <v>747700</v>
      </c>
      <c r="E384" s="28"/>
      <c r="F384" s="18">
        <v>0</v>
      </c>
      <c r="G384" s="18">
        <v>208400</v>
      </c>
      <c r="H384" s="18">
        <v>0</v>
      </c>
      <c r="I384" s="18">
        <v>234500</v>
      </c>
      <c r="J384" s="18">
        <v>0</v>
      </c>
      <c r="K384" s="18">
        <v>0</v>
      </c>
      <c r="L384" s="157">
        <v>304800</v>
      </c>
      <c r="M384" s="51">
        <f t="shared" si="12"/>
        <v>747700</v>
      </c>
      <c r="N384" s="52">
        <f t="shared" si="13"/>
        <v>1</v>
      </c>
    </row>
    <row r="385" spans="1:14">
      <c r="A385" s="149" t="s">
        <v>30</v>
      </c>
      <c r="B385" s="17" t="s">
        <v>31</v>
      </c>
      <c r="C385" s="18">
        <v>442900</v>
      </c>
      <c r="D385" s="18">
        <v>442900</v>
      </c>
      <c r="E385" s="28"/>
      <c r="F385" s="18">
        <v>0</v>
      </c>
      <c r="G385" s="18">
        <v>208400</v>
      </c>
      <c r="H385" s="18">
        <v>0</v>
      </c>
      <c r="I385" s="18">
        <v>234500</v>
      </c>
      <c r="J385" s="18">
        <v>0</v>
      </c>
      <c r="K385" s="18">
        <v>0</v>
      </c>
      <c r="L385" s="157">
        <v>0</v>
      </c>
      <c r="M385" s="51">
        <f t="shared" si="12"/>
        <v>442900</v>
      </c>
      <c r="N385" s="52">
        <f t="shared" si="13"/>
        <v>1</v>
      </c>
    </row>
    <row r="386" spans="1:14">
      <c r="A386" s="149" t="s">
        <v>32</v>
      </c>
      <c r="B386" s="17" t="s">
        <v>33</v>
      </c>
      <c r="C386" s="18">
        <v>304800</v>
      </c>
      <c r="D386" s="18">
        <v>304800</v>
      </c>
      <c r="E386" s="28"/>
      <c r="F386" s="18">
        <v>0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57">
        <v>304800</v>
      </c>
      <c r="M386" s="51">
        <f t="shared" si="12"/>
        <v>304800</v>
      </c>
      <c r="N386" s="52">
        <f t="shared" si="13"/>
        <v>1</v>
      </c>
    </row>
    <row r="387" spans="1:14">
      <c r="A387" s="151" t="s">
        <v>36</v>
      </c>
      <c r="B387" s="23" t="s">
        <v>37</v>
      </c>
      <c r="C387" s="25">
        <v>300000000</v>
      </c>
      <c r="D387" s="25">
        <v>300000000</v>
      </c>
      <c r="E387" s="29"/>
      <c r="F387" s="25">
        <v>25000000</v>
      </c>
      <c r="G387" s="25">
        <v>25000000</v>
      </c>
      <c r="H387" s="25">
        <v>25000000</v>
      </c>
      <c r="I387" s="25">
        <v>25000000</v>
      </c>
      <c r="J387" s="25">
        <v>25000000</v>
      </c>
      <c r="K387" s="25">
        <v>25000000</v>
      </c>
      <c r="L387" s="160">
        <v>25000000</v>
      </c>
      <c r="M387" s="51">
        <f t="shared" si="12"/>
        <v>175000000</v>
      </c>
      <c r="N387" s="52">
        <f t="shared" si="13"/>
        <v>0.58333333333333337</v>
      </c>
    </row>
    <row r="388" spans="1:14">
      <c r="A388" s="149" t="s">
        <v>38</v>
      </c>
      <c r="B388" s="17" t="s">
        <v>39</v>
      </c>
      <c r="C388" s="18">
        <v>300000000</v>
      </c>
      <c r="D388" s="18">
        <v>300000000</v>
      </c>
      <c r="E388" s="28"/>
      <c r="F388" s="18">
        <v>25000000</v>
      </c>
      <c r="G388" s="18">
        <v>25000000</v>
      </c>
      <c r="H388" s="18">
        <v>25000000</v>
      </c>
      <c r="I388" s="18">
        <v>25000000</v>
      </c>
      <c r="J388" s="18">
        <v>25000000</v>
      </c>
      <c r="K388" s="18">
        <v>25000000</v>
      </c>
      <c r="L388" s="157">
        <v>25000000</v>
      </c>
      <c r="M388" s="51">
        <f t="shared" si="12"/>
        <v>175000000</v>
      </c>
      <c r="N388" s="52">
        <f t="shared" si="13"/>
        <v>0.58333333333333337</v>
      </c>
    </row>
    <row r="389" spans="1:14">
      <c r="A389" s="149" t="s">
        <v>259</v>
      </c>
      <c r="B389" s="17" t="s">
        <v>260</v>
      </c>
      <c r="C389" s="18">
        <v>300000000</v>
      </c>
      <c r="D389" s="18">
        <v>300000000</v>
      </c>
      <c r="E389" s="28"/>
      <c r="F389" s="18">
        <v>25000000</v>
      </c>
      <c r="G389" s="18">
        <v>25000000</v>
      </c>
      <c r="H389" s="18">
        <v>25000000</v>
      </c>
      <c r="I389" s="18">
        <v>25000000</v>
      </c>
      <c r="J389" s="18">
        <v>25000000</v>
      </c>
      <c r="K389" s="18">
        <v>25000000</v>
      </c>
      <c r="L389" s="157">
        <v>25000000</v>
      </c>
      <c r="M389" s="51">
        <f t="shared" si="12"/>
        <v>175000000</v>
      </c>
      <c r="N389" s="52">
        <f t="shared" si="13"/>
        <v>0.58333333333333337</v>
      </c>
    </row>
    <row r="390" spans="1:14">
      <c r="A390" s="146" t="s">
        <v>287</v>
      </c>
      <c r="B390" s="5" t="s">
        <v>288</v>
      </c>
      <c r="C390" s="7">
        <v>159889600</v>
      </c>
      <c r="D390" s="7">
        <v>159889600</v>
      </c>
      <c r="E390" s="32"/>
      <c r="F390" s="7">
        <v>10214600</v>
      </c>
      <c r="G390" s="7">
        <v>7954800</v>
      </c>
      <c r="H390" s="7">
        <v>12070500</v>
      </c>
      <c r="I390" s="7">
        <v>32564000</v>
      </c>
      <c r="J390" s="7">
        <v>18426700</v>
      </c>
      <c r="K390" s="7">
        <v>8978700</v>
      </c>
      <c r="L390" s="166">
        <v>12021700</v>
      </c>
      <c r="M390" s="51">
        <f t="shared" si="12"/>
        <v>102231000</v>
      </c>
      <c r="N390" s="52">
        <f t="shared" si="13"/>
        <v>0.63938492559866311</v>
      </c>
    </row>
    <row r="391" spans="1:14">
      <c r="A391" s="147" t="s">
        <v>16</v>
      </c>
      <c r="B391" s="9" t="s">
        <v>17</v>
      </c>
      <c r="C391" s="11">
        <v>159889600</v>
      </c>
      <c r="D391" s="11">
        <v>159889600</v>
      </c>
      <c r="E391" s="27"/>
      <c r="F391" s="11">
        <v>10214600</v>
      </c>
      <c r="G391" s="11">
        <v>7954800</v>
      </c>
      <c r="H391" s="11">
        <v>12070500</v>
      </c>
      <c r="I391" s="11">
        <v>32564000</v>
      </c>
      <c r="J391" s="11">
        <v>18426700</v>
      </c>
      <c r="K391" s="11">
        <v>8978700</v>
      </c>
      <c r="L391" s="155">
        <v>12021700</v>
      </c>
      <c r="M391" s="51">
        <f t="shared" si="12"/>
        <v>102231000</v>
      </c>
      <c r="N391" s="52">
        <f t="shared" si="13"/>
        <v>0.63938492559866311</v>
      </c>
    </row>
    <row r="392" spans="1:14">
      <c r="A392" s="147" t="s">
        <v>16</v>
      </c>
      <c r="B392" s="9" t="s">
        <v>17</v>
      </c>
      <c r="C392" s="11">
        <v>159889600</v>
      </c>
      <c r="D392" s="11">
        <v>159889600</v>
      </c>
      <c r="E392" s="27"/>
      <c r="F392" s="11">
        <v>10214600</v>
      </c>
      <c r="G392" s="11">
        <v>7954800</v>
      </c>
      <c r="H392" s="11">
        <v>12070500</v>
      </c>
      <c r="I392" s="11">
        <v>32564000</v>
      </c>
      <c r="J392" s="11">
        <v>18426700</v>
      </c>
      <c r="K392" s="11">
        <v>8978700</v>
      </c>
      <c r="L392" s="155">
        <v>12021700</v>
      </c>
      <c r="M392" s="51">
        <f t="shared" si="12"/>
        <v>102231000</v>
      </c>
      <c r="N392" s="52">
        <f t="shared" si="13"/>
        <v>0.63938492559866311</v>
      </c>
    </row>
    <row r="393" spans="1:14">
      <c r="A393" s="148" t="s">
        <v>289</v>
      </c>
      <c r="B393" s="13" t="s">
        <v>290</v>
      </c>
      <c r="C393" s="15">
        <v>159889600</v>
      </c>
      <c r="D393" s="15">
        <v>159889600</v>
      </c>
      <c r="E393" s="31"/>
      <c r="F393" s="15">
        <v>10214600</v>
      </c>
      <c r="G393" s="15">
        <v>7954800</v>
      </c>
      <c r="H393" s="15">
        <v>12070500</v>
      </c>
      <c r="I393" s="15">
        <v>32564000</v>
      </c>
      <c r="J393" s="15">
        <v>18426700</v>
      </c>
      <c r="K393" s="15">
        <v>8978700</v>
      </c>
      <c r="L393" s="165">
        <v>12021700</v>
      </c>
      <c r="M393" s="51">
        <f t="shared" si="12"/>
        <v>102231000</v>
      </c>
      <c r="N393" s="52">
        <f t="shared" si="13"/>
        <v>0.63938492559866311</v>
      </c>
    </row>
    <row r="394" spans="1:14" ht="25.75">
      <c r="A394" s="147" t="s">
        <v>291</v>
      </c>
      <c r="B394" s="9" t="s">
        <v>292</v>
      </c>
      <c r="C394" s="11">
        <v>159889600</v>
      </c>
      <c r="D394" s="11">
        <v>159889600</v>
      </c>
      <c r="E394" s="27"/>
      <c r="F394" s="11">
        <v>10214600</v>
      </c>
      <c r="G394" s="11">
        <v>7954800</v>
      </c>
      <c r="H394" s="11">
        <v>12070500</v>
      </c>
      <c r="I394" s="11">
        <v>32564000</v>
      </c>
      <c r="J394" s="11">
        <v>18426700</v>
      </c>
      <c r="K394" s="11">
        <v>8978700</v>
      </c>
      <c r="L394" s="155">
        <v>12021700</v>
      </c>
      <c r="M394" s="51">
        <f t="shared" si="12"/>
        <v>102231000</v>
      </c>
      <c r="N394" s="52">
        <f t="shared" si="13"/>
        <v>0.63938492559866311</v>
      </c>
    </row>
    <row r="395" spans="1:14" ht="25.75">
      <c r="A395" s="149" t="s">
        <v>293</v>
      </c>
      <c r="B395" s="17" t="s">
        <v>294</v>
      </c>
      <c r="C395" s="18">
        <v>53917000</v>
      </c>
      <c r="D395" s="18">
        <v>53917000</v>
      </c>
      <c r="E395" s="28"/>
      <c r="F395" s="18">
        <v>2362800</v>
      </c>
      <c r="G395" s="18">
        <v>780400</v>
      </c>
      <c r="H395" s="18">
        <v>6060500</v>
      </c>
      <c r="I395" s="18">
        <v>25154000</v>
      </c>
      <c r="J395" s="18">
        <v>1096500</v>
      </c>
      <c r="K395" s="18">
        <v>1747500</v>
      </c>
      <c r="L395" s="157">
        <v>3711700</v>
      </c>
      <c r="M395" s="51">
        <f t="shared" si="12"/>
        <v>40913400</v>
      </c>
      <c r="N395" s="52">
        <f t="shared" si="13"/>
        <v>0.758821892909472</v>
      </c>
    </row>
    <row r="396" spans="1:14">
      <c r="A396" s="150" t="s">
        <v>24</v>
      </c>
      <c r="B396" s="19" t="s">
        <v>25</v>
      </c>
      <c r="C396" s="21">
        <v>53917000</v>
      </c>
      <c r="D396" s="21">
        <v>53917000</v>
      </c>
      <c r="E396" s="30"/>
      <c r="F396" s="21">
        <v>2362800</v>
      </c>
      <c r="G396" s="21">
        <v>780400</v>
      </c>
      <c r="H396" s="21">
        <v>6060500</v>
      </c>
      <c r="I396" s="21">
        <v>25154000</v>
      </c>
      <c r="J396" s="21">
        <v>1096500</v>
      </c>
      <c r="K396" s="21">
        <v>1747500</v>
      </c>
      <c r="L396" s="163">
        <v>3711700</v>
      </c>
      <c r="M396" s="51">
        <f t="shared" si="12"/>
        <v>40913400</v>
      </c>
      <c r="N396" s="52">
        <f t="shared" si="13"/>
        <v>0.758821892909472</v>
      </c>
    </row>
    <row r="397" spans="1:14">
      <c r="A397" s="151" t="s">
        <v>26</v>
      </c>
      <c r="B397" s="23" t="s">
        <v>27</v>
      </c>
      <c r="C397" s="25">
        <v>18593000</v>
      </c>
      <c r="D397" s="25">
        <v>18593000</v>
      </c>
      <c r="E397" s="29"/>
      <c r="F397" s="25">
        <v>2362800</v>
      </c>
      <c r="G397" s="25">
        <v>780400</v>
      </c>
      <c r="H397" s="25">
        <v>3770500</v>
      </c>
      <c r="I397" s="25">
        <v>2054000</v>
      </c>
      <c r="J397" s="25">
        <v>1096500</v>
      </c>
      <c r="K397" s="25">
        <v>1747500</v>
      </c>
      <c r="L397" s="160">
        <v>2617700</v>
      </c>
      <c r="M397" s="51">
        <f t="shared" si="12"/>
        <v>14429400</v>
      </c>
      <c r="N397" s="52">
        <f t="shared" si="13"/>
        <v>0.77606626149626201</v>
      </c>
    </row>
    <row r="398" spans="1:14">
      <c r="A398" s="149" t="s">
        <v>28</v>
      </c>
      <c r="B398" s="17" t="s">
        <v>29</v>
      </c>
      <c r="C398" s="18">
        <v>18593000</v>
      </c>
      <c r="D398" s="18">
        <v>18593000</v>
      </c>
      <c r="E398" s="28"/>
      <c r="F398" s="18">
        <v>2362800</v>
      </c>
      <c r="G398" s="18">
        <v>780400</v>
      </c>
      <c r="H398" s="18">
        <v>3770500</v>
      </c>
      <c r="I398" s="18">
        <v>2054000</v>
      </c>
      <c r="J398" s="18">
        <v>1096500</v>
      </c>
      <c r="K398" s="18">
        <v>1747500</v>
      </c>
      <c r="L398" s="157">
        <v>2617700</v>
      </c>
      <c r="M398" s="51">
        <f t="shared" si="12"/>
        <v>14429400</v>
      </c>
      <c r="N398" s="52">
        <f t="shared" si="13"/>
        <v>0.77606626149626201</v>
      </c>
    </row>
    <row r="399" spans="1:14">
      <c r="A399" s="149" t="s">
        <v>30</v>
      </c>
      <c r="B399" s="17" t="s">
        <v>31</v>
      </c>
      <c r="C399" s="18">
        <v>10827400</v>
      </c>
      <c r="D399" s="18">
        <v>10827400</v>
      </c>
      <c r="E399" s="28"/>
      <c r="F399" s="18">
        <v>2362800</v>
      </c>
      <c r="G399" s="18">
        <v>730400</v>
      </c>
      <c r="H399" s="18">
        <v>548500</v>
      </c>
      <c r="I399" s="18">
        <v>2054000</v>
      </c>
      <c r="J399" s="18">
        <v>646500</v>
      </c>
      <c r="K399" s="18">
        <v>1747500</v>
      </c>
      <c r="L399" s="157">
        <v>1645700</v>
      </c>
      <c r="M399" s="51">
        <f t="shared" si="12"/>
        <v>9735400</v>
      </c>
      <c r="N399" s="52">
        <f t="shared" si="13"/>
        <v>0.89914476236215524</v>
      </c>
    </row>
    <row r="400" spans="1:14">
      <c r="A400" s="149" t="s">
        <v>32</v>
      </c>
      <c r="B400" s="17" t="s">
        <v>33</v>
      </c>
      <c r="C400" s="18">
        <v>1944000</v>
      </c>
      <c r="D400" s="18">
        <v>1944000</v>
      </c>
      <c r="E400" s="28"/>
      <c r="F400" s="18">
        <v>0</v>
      </c>
      <c r="G400" s="18">
        <v>0</v>
      </c>
      <c r="H400" s="18">
        <v>972000</v>
      </c>
      <c r="I400" s="18">
        <v>0</v>
      </c>
      <c r="J400" s="18">
        <v>0</v>
      </c>
      <c r="K400" s="18">
        <v>0</v>
      </c>
      <c r="L400" s="157">
        <v>972000</v>
      </c>
      <c r="M400" s="51">
        <f t="shared" si="12"/>
        <v>1944000</v>
      </c>
      <c r="N400" s="52">
        <f t="shared" si="13"/>
        <v>1</v>
      </c>
    </row>
    <row r="401" spans="1:14">
      <c r="A401" s="149" t="s">
        <v>237</v>
      </c>
      <c r="B401" s="17" t="s">
        <v>238</v>
      </c>
      <c r="C401" s="18">
        <v>50000</v>
      </c>
      <c r="D401" s="18">
        <v>50000</v>
      </c>
      <c r="E401" s="28"/>
      <c r="F401" s="18">
        <v>0</v>
      </c>
      <c r="G401" s="18">
        <v>50000</v>
      </c>
      <c r="H401" s="18">
        <v>0</v>
      </c>
      <c r="I401" s="18">
        <v>0</v>
      </c>
      <c r="J401" s="18">
        <v>0</v>
      </c>
      <c r="K401" s="18">
        <v>0</v>
      </c>
      <c r="L401" s="157">
        <v>0</v>
      </c>
      <c r="M401" s="51">
        <f t="shared" si="12"/>
        <v>50000</v>
      </c>
      <c r="N401" s="52">
        <f t="shared" si="13"/>
        <v>1</v>
      </c>
    </row>
    <row r="402" spans="1:14">
      <c r="A402" s="149" t="s">
        <v>34</v>
      </c>
      <c r="B402" s="17" t="s">
        <v>35</v>
      </c>
      <c r="C402" s="18">
        <v>1721600</v>
      </c>
      <c r="D402" s="18">
        <v>1721600</v>
      </c>
      <c r="E402" s="28"/>
      <c r="F402" s="18">
        <v>0</v>
      </c>
      <c r="G402" s="18">
        <v>0</v>
      </c>
      <c r="H402" s="18">
        <v>0</v>
      </c>
      <c r="I402" s="18">
        <v>0</v>
      </c>
      <c r="J402" s="18">
        <v>0</v>
      </c>
      <c r="K402" s="18">
        <v>0</v>
      </c>
      <c r="L402" s="157">
        <v>0</v>
      </c>
      <c r="M402" s="51">
        <f t="shared" si="12"/>
        <v>0</v>
      </c>
      <c r="N402" s="52">
        <f t="shared" si="13"/>
        <v>0</v>
      </c>
    </row>
    <row r="403" spans="1:14">
      <c r="A403" s="149" t="s">
        <v>137</v>
      </c>
      <c r="B403" s="17" t="s">
        <v>138</v>
      </c>
      <c r="C403" s="18">
        <v>4050000</v>
      </c>
      <c r="D403" s="18">
        <v>4050000</v>
      </c>
      <c r="E403" s="28"/>
      <c r="F403" s="18">
        <v>0</v>
      </c>
      <c r="G403" s="18">
        <v>0</v>
      </c>
      <c r="H403" s="18">
        <v>2250000</v>
      </c>
      <c r="I403" s="18">
        <v>0</v>
      </c>
      <c r="J403" s="18">
        <v>450000</v>
      </c>
      <c r="K403" s="18">
        <v>0</v>
      </c>
      <c r="L403" s="157">
        <v>0</v>
      </c>
      <c r="M403" s="51">
        <f t="shared" si="12"/>
        <v>2700000</v>
      </c>
      <c r="N403" s="52">
        <f t="shared" si="13"/>
        <v>0.66666666666666663</v>
      </c>
    </row>
    <row r="404" spans="1:14">
      <c r="A404" s="151" t="s">
        <v>36</v>
      </c>
      <c r="B404" s="23" t="s">
        <v>37</v>
      </c>
      <c r="C404" s="25">
        <v>2244000</v>
      </c>
      <c r="D404" s="25">
        <v>2244000</v>
      </c>
      <c r="E404" s="29"/>
      <c r="F404" s="25">
        <v>0</v>
      </c>
      <c r="G404" s="25">
        <v>0</v>
      </c>
      <c r="H404" s="25">
        <v>1150000</v>
      </c>
      <c r="I404" s="25">
        <v>0</v>
      </c>
      <c r="J404" s="25">
        <v>0</v>
      </c>
      <c r="K404" s="25">
        <v>0</v>
      </c>
      <c r="L404" s="160">
        <v>1094000</v>
      </c>
      <c r="M404" s="51">
        <f t="shared" si="12"/>
        <v>2244000</v>
      </c>
      <c r="N404" s="52">
        <f t="shared" si="13"/>
        <v>1</v>
      </c>
    </row>
    <row r="405" spans="1:14">
      <c r="A405" s="149" t="s">
        <v>38</v>
      </c>
      <c r="B405" s="17" t="s">
        <v>39</v>
      </c>
      <c r="C405" s="18">
        <v>2244000</v>
      </c>
      <c r="D405" s="18">
        <v>2244000</v>
      </c>
      <c r="E405" s="28"/>
      <c r="F405" s="18">
        <v>0</v>
      </c>
      <c r="G405" s="18">
        <v>0</v>
      </c>
      <c r="H405" s="18">
        <v>1150000</v>
      </c>
      <c r="I405" s="18">
        <v>0</v>
      </c>
      <c r="J405" s="18">
        <v>0</v>
      </c>
      <c r="K405" s="18">
        <v>0</v>
      </c>
      <c r="L405" s="157">
        <v>1094000</v>
      </c>
      <c r="M405" s="51">
        <f t="shared" si="12"/>
        <v>2244000</v>
      </c>
      <c r="N405" s="52">
        <f t="shared" si="13"/>
        <v>1</v>
      </c>
    </row>
    <row r="406" spans="1:14">
      <c r="A406" s="149" t="s">
        <v>40</v>
      </c>
      <c r="B406" s="17" t="s">
        <v>41</v>
      </c>
      <c r="C406" s="18">
        <v>2244000</v>
      </c>
      <c r="D406" s="18">
        <v>2244000</v>
      </c>
      <c r="E406" s="28"/>
      <c r="F406" s="18">
        <v>0</v>
      </c>
      <c r="G406" s="18">
        <v>0</v>
      </c>
      <c r="H406" s="18">
        <v>1150000</v>
      </c>
      <c r="I406" s="18">
        <v>0</v>
      </c>
      <c r="J406" s="18">
        <v>0</v>
      </c>
      <c r="K406" s="18">
        <v>0</v>
      </c>
      <c r="L406" s="157">
        <v>1094000</v>
      </c>
      <c r="M406" s="51">
        <f t="shared" si="12"/>
        <v>2244000</v>
      </c>
      <c r="N406" s="52">
        <f t="shared" si="13"/>
        <v>1</v>
      </c>
    </row>
    <row r="407" spans="1:14">
      <c r="A407" s="151" t="s">
        <v>42</v>
      </c>
      <c r="B407" s="23" t="s">
        <v>43</v>
      </c>
      <c r="C407" s="25">
        <v>33080000</v>
      </c>
      <c r="D407" s="25">
        <v>33080000</v>
      </c>
      <c r="E407" s="29"/>
      <c r="F407" s="25">
        <v>0</v>
      </c>
      <c r="G407" s="25">
        <v>0</v>
      </c>
      <c r="H407" s="25">
        <v>1140000</v>
      </c>
      <c r="I407" s="25">
        <v>23100000</v>
      </c>
      <c r="J407" s="25">
        <v>0</v>
      </c>
      <c r="K407" s="25">
        <v>0</v>
      </c>
      <c r="L407" s="160">
        <v>0</v>
      </c>
      <c r="M407" s="51">
        <f t="shared" si="12"/>
        <v>24240000</v>
      </c>
      <c r="N407" s="52">
        <f t="shared" si="13"/>
        <v>0.73276904474002413</v>
      </c>
    </row>
    <row r="408" spans="1:14">
      <c r="A408" s="149" t="s">
        <v>44</v>
      </c>
      <c r="B408" s="17" t="s">
        <v>45</v>
      </c>
      <c r="C408" s="18">
        <v>33080000</v>
      </c>
      <c r="D408" s="18">
        <v>33080000</v>
      </c>
      <c r="E408" s="28"/>
      <c r="F408" s="18">
        <v>0</v>
      </c>
      <c r="G408" s="18">
        <v>0</v>
      </c>
      <c r="H408" s="18">
        <v>1140000</v>
      </c>
      <c r="I408" s="18">
        <v>23100000</v>
      </c>
      <c r="J408" s="18">
        <v>0</v>
      </c>
      <c r="K408" s="18">
        <v>0</v>
      </c>
      <c r="L408" s="157">
        <v>0</v>
      </c>
      <c r="M408" s="51">
        <f t="shared" si="12"/>
        <v>24240000</v>
      </c>
      <c r="N408" s="52">
        <f t="shared" si="13"/>
        <v>0.73276904474002413</v>
      </c>
    </row>
    <row r="409" spans="1:14">
      <c r="A409" s="149" t="s">
        <v>46</v>
      </c>
      <c r="B409" s="17" t="s">
        <v>47</v>
      </c>
      <c r="C409" s="18">
        <v>33080000</v>
      </c>
      <c r="D409" s="18">
        <v>33080000</v>
      </c>
      <c r="E409" s="28"/>
      <c r="F409" s="18">
        <v>0</v>
      </c>
      <c r="G409" s="18">
        <v>0</v>
      </c>
      <c r="H409" s="18">
        <v>1140000</v>
      </c>
      <c r="I409" s="18">
        <v>23100000</v>
      </c>
      <c r="J409" s="18">
        <v>0</v>
      </c>
      <c r="K409" s="18">
        <v>0</v>
      </c>
      <c r="L409" s="157">
        <v>0</v>
      </c>
      <c r="M409" s="51">
        <f t="shared" si="12"/>
        <v>24240000</v>
      </c>
      <c r="N409" s="52">
        <f t="shared" si="13"/>
        <v>0.73276904474002413</v>
      </c>
    </row>
    <row r="410" spans="1:14">
      <c r="A410" s="149" t="s">
        <v>295</v>
      </c>
      <c r="B410" s="17" t="s">
        <v>296</v>
      </c>
      <c r="C410" s="18">
        <v>95972600</v>
      </c>
      <c r="D410" s="18">
        <v>95972600</v>
      </c>
      <c r="E410" s="28"/>
      <c r="F410" s="18">
        <v>7851800</v>
      </c>
      <c r="G410" s="18">
        <v>7174400</v>
      </c>
      <c r="H410" s="18">
        <v>6010000</v>
      </c>
      <c r="I410" s="18">
        <v>7410000</v>
      </c>
      <c r="J410" s="18">
        <v>7330200</v>
      </c>
      <c r="K410" s="18">
        <v>7231200</v>
      </c>
      <c r="L410" s="157">
        <v>8310000</v>
      </c>
      <c r="M410" s="51">
        <f t="shared" si="12"/>
        <v>51317600</v>
      </c>
      <c r="N410" s="52">
        <f t="shared" si="13"/>
        <v>0.53471094874995573</v>
      </c>
    </row>
    <row r="411" spans="1:14">
      <c r="A411" s="150" t="s">
        <v>24</v>
      </c>
      <c r="B411" s="19" t="s">
        <v>25</v>
      </c>
      <c r="C411" s="21">
        <v>95972600</v>
      </c>
      <c r="D411" s="21">
        <v>95972600</v>
      </c>
      <c r="E411" s="30"/>
      <c r="F411" s="21">
        <v>7851800</v>
      </c>
      <c r="G411" s="21">
        <v>7174400</v>
      </c>
      <c r="H411" s="21">
        <v>6010000</v>
      </c>
      <c r="I411" s="21">
        <v>7410000</v>
      </c>
      <c r="J411" s="21">
        <v>7330200</v>
      </c>
      <c r="K411" s="21">
        <v>7231200</v>
      </c>
      <c r="L411" s="163">
        <v>8310000</v>
      </c>
      <c r="M411" s="51">
        <f t="shared" si="12"/>
        <v>51317600</v>
      </c>
      <c r="N411" s="52">
        <f t="shared" si="13"/>
        <v>0.53471094874995573</v>
      </c>
    </row>
    <row r="412" spans="1:14">
      <c r="A412" s="151" t="s">
        <v>26</v>
      </c>
      <c r="B412" s="23" t="s">
        <v>27</v>
      </c>
      <c r="C412" s="25">
        <v>20074600</v>
      </c>
      <c r="D412" s="25">
        <v>20074600</v>
      </c>
      <c r="E412" s="29"/>
      <c r="F412" s="25">
        <v>1841800</v>
      </c>
      <c r="G412" s="25">
        <v>1164400</v>
      </c>
      <c r="H412" s="25">
        <v>0</v>
      </c>
      <c r="I412" s="25">
        <v>1400000</v>
      </c>
      <c r="J412" s="25">
        <v>1320200</v>
      </c>
      <c r="K412" s="25">
        <v>1221200</v>
      </c>
      <c r="L412" s="160">
        <v>22000</v>
      </c>
      <c r="M412" s="51">
        <f t="shared" si="12"/>
        <v>6969600</v>
      </c>
      <c r="N412" s="52">
        <f t="shared" si="13"/>
        <v>0.34718499995018581</v>
      </c>
    </row>
    <row r="413" spans="1:14">
      <c r="A413" s="149" t="s">
        <v>28</v>
      </c>
      <c r="B413" s="17" t="s">
        <v>29</v>
      </c>
      <c r="C413" s="18">
        <v>20074600</v>
      </c>
      <c r="D413" s="18">
        <v>20074600</v>
      </c>
      <c r="E413" s="28"/>
      <c r="F413" s="18">
        <v>1841800</v>
      </c>
      <c r="G413" s="18">
        <v>1164400</v>
      </c>
      <c r="H413" s="18">
        <v>0</v>
      </c>
      <c r="I413" s="18">
        <v>1400000</v>
      </c>
      <c r="J413" s="18">
        <v>1320200</v>
      </c>
      <c r="K413" s="18">
        <v>1221200</v>
      </c>
      <c r="L413" s="157">
        <v>22000</v>
      </c>
      <c r="M413" s="51">
        <f t="shared" si="12"/>
        <v>6969600</v>
      </c>
      <c r="N413" s="52">
        <f t="shared" si="13"/>
        <v>0.34718499995018581</v>
      </c>
    </row>
    <row r="414" spans="1:14">
      <c r="A414" s="149" t="s">
        <v>30</v>
      </c>
      <c r="B414" s="17" t="s">
        <v>31</v>
      </c>
      <c r="C414" s="18">
        <v>16381000</v>
      </c>
      <c r="D414" s="18">
        <v>16381000</v>
      </c>
      <c r="E414" s="28"/>
      <c r="F414" s="18">
        <v>670000</v>
      </c>
      <c r="G414" s="18">
        <v>1164400</v>
      </c>
      <c r="H414" s="18">
        <v>0</v>
      </c>
      <c r="I414" s="18">
        <v>50000</v>
      </c>
      <c r="J414" s="18">
        <v>529400</v>
      </c>
      <c r="K414" s="18">
        <v>840200</v>
      </c>
      <c r="L414" s="157">
        <v>22000</v>
      </c>
      <c r="M414" s="51">
        <f t="shared" si="12"/>
        <v>3276000</v>
      </c>
      <c r="N414" s="52">
        <f t="shared" si="13"/>
        <v>0.19998779073316647</v>
      </c>
    </row>
    <row r="415" spans="1:14">
      <c r="A415" s="149" t="s">
        <v>32</v>
      </c>
      <c r="B415" s="17" t="s">
        <v>33</v>
      </c>
      <c r="C415" s="18">
        <v>762000</v>
      </c>
      <c r="D415" s="18">
        <v>762000</v>
      </c>
      <c r="E415" s="28"/>
      <c r="F415" s="18">
        <v>381000</v>
      </c>
      <c r="G415" s="18">
        <v>0</v>
      </c>
      <c r="H415" s="18">
        <v>0</v>
      </c>
      <c r="I415" s="18">
        <v>0</v>
      </c>
      <c r="J415" s="18">
        <v>0</v>
      </c>
      <c r="K415" s="18">
        <v>381000</v>
      </c>
      <c r="L415" s="157">
        <v>0</v>
      </c>
      <c r="M415" s="51">
        <f t="shared" si="12"/>
        <v>762000</v>
      </c>
      <c r="N415" s="52">
        <f t="shared" si="13"/>
        <v>1</v>
      </c>
    </row>
    <row r="416" spans="1:14">
      <c r="A416" s="149" t="s">
        <v>34</v>
      </c>
      <c r="B416" s="17" t="s">
        <v>35</v>
      </c>
      <c r="C416" s="18">
        <v>1581600</v>
      </c>
      <c r="D416" s="18">
        <v>1581600</v>
      </c>
      <c r="E416" s="28"/>
      <c r="F416" s="18">
        <v>790800</v>
      </c>
      <c r="G416" s="18">
        <v>0</v>
      </c>
      <c r="H416" s="18">
        <v>0</v>
      </c>
      <c r="I416" s="18">
        <v>0</v>
      </c>
      <c r="J416" s="18">
        <v>790800</v>
      </c>
      <c r="K416" s="18">
        <v>0</v>
      </c>
      <c r="L416" s="157">
        <v>0</v>
      </c>
      <c r="M416" s="51">
        <f t="shared" ref="M416:M475" si="14">SUM(F416:L416)</f>
        <v>1581600</v>
      </c>
      <c r="N416" s="52">
        <f t="shared" ref="N416:N475" si="15">M416/D416*100%</f>
        <v>1</v>
      </c>
    </row>
    <row r="417" spans="1:14">
      <c r="A417" s="149" t="s">
        <v>137</v>
      </c>
      <c r="B417" s="17" t="s">
        <v>138</v>
      </c>
      <c r="C417" s="18">
        <v>1350000</v>
      </c>
      <c r="D417" s="18">
        <v>1350000</v>
      </c>
      <c r="E417" s="28"/>
      <c r="F417" s="18">
        <v>0</v>
      </c>
      <c r="G417" s="18">
        <v>0</v>
      </c>
      <c r="H417" s="18">
        <v>0</v>
      </c>
      <c r="I417" s="18">
        <v>1350000</v>
      </c>
      <c r="J417" s="18">
        <v>0</v>
      </c>
      <c r="K417" s="18">
        <v>0</v>
      </c>
      <c r="L417" s="157">
        <v>0</v>
      </c>
      <c r="M417" s="51">
        <f t="shared" si="14"/>
        <v>1350000</v>
      </c>
      <c r="N417" s="52">
        <f t="shared" si="15"/>
        <v>1</v>
      </c>
    </row>
    <row r="418" spans="1:14">
      <c r="A418" s="151" t="s">
        <v>36</v>
      </c>
      <c r="B418" s="23" t="s">
        <v>37</v>
      </c>
      <c r="C418" s="25">
        <v>74398000</v>
      </c>
      <c r="D418" s="25">
        <v>74398000</v>
      </c>
      <c r="E418" s="29"/>
      <c r="F418" s="25">
        <v>6010000</v>
      </c>
      <c r="G418" s="25">
        <v>6010000</v>
      </c>
      <c r="H418" s="25">
        <v>6010000</v>
      </c>
      <c r="I418" s="25">
        <v>6010000</v>
      </c>
      <c r="J418" s="25">
        <v>6010000</v>
      </c>
      <c r="K418" s="25">
        <v>6010000</v>
      </c>
      <c r="L418" s="160">
        <v>8288000</v>
      </c>
      <c r="M418" s="51">
        <f t="shared" si="14"/>
        <v>44348000</v>
      </c>
      <c r="N418" s="52">
        <f t="shared" si="15"/>
        <v>0.5960912927766876</v>
      </c>
    </row>
    <row r="419" spans="1:14">
      <c r="A419" s="149" t="s">
        <v>38</v>
      </c>
      <c r="B419" s="17" t="s">
        <v>39</v>
      </c>
      <c r="C419" s="18">
        <v>74398000</v>
      </c>
      <c r="D419" s="18">
        <v>74398000</v>
      </c>
      <c r="E419" s="28"/>
      <c r="F419" s="18">
        <v>6010000</v>
      </c>
      <c r="G419" s="18">
        <v>6010000</v>
      </c>
      <c r="H419" s="18">
        <v>6010000</v>
      </c>
      <c r="I419" s="18">
        <v>6010000</v>
      </c>
      <c r="J419" s="18">
        <v>6010000</v>
      </c>
      <c r="K419" s="18">
        <v>6010000</v>
      </c>
      <c r="L419" s="157">
        <v>8288000</v>
      </c>
      <c r="M419" s="51">
        <f t="shared" si="14"/>
        <v>44348000</v>
      </c>
      <c r="N419" s="52">
        <f t="shared" si="15"/>
        <v>0.5960912927766876</v>
      </c>
    </row>
    <row r="420" spans="1:14">
      <c r="A420" s="149" t="s">
        <v>259</v>
      </c>
      <c r="B420" s="17" t="s">
        <v>260</v>
      </c>
      <c r="C420" s="18">
        <v>60000000</v>
      </c>
      <c r="D420" s="18">
        <v>60000000</v>
      </c>
      <c r="E420" s="28"/>
      <c r="F420" s="18">
        <v>5000000</v>
      </c>
      <c r="G420" s="18">
        <v>5000000</v>
      </c>
      <c r="H420" s="18">
        <v>5000000</v>
      </c>
      <c r="I420" s="18">
        <v>5000000</v>
      </c>
      <c r="J420" s="18">
        <v>5000000</v>
      </c>
      <c r="K420" s="18">
        <v>5000000</v>
      </c>
      <c r="L420" s="157">
        <v>5000000</v>
      </c>
      <c r="M420" s="51">
        <f t="shared" si="14"/>
        <v>35000000</v>
      </c>
      <c r="N420" s="52">
        <f t="shared" si="15"/>
        <v>0.58333333333333337</v>
      </c>
    </row>
    <row r="421" spans="1:14">
      <c r="A421" s="149" t="s">
        <v>40</v>
      </c>
      <c r="B421" s="17" t="s">
        <v>41</v>
      </c>
      <c r="C421" s="18">
        <v>2278000</v>
      </c>
      <c r="D421" s="18">
        <v>2278000</v>
      </c>
      <c r="E421" s="28"/>
      <c r="F421" s="18">
        <v>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57">
        <v>2278000</v>
      </c>
      <c r="M421" s="51">
        <f t="shared" si="14"/>
        <v>2278000</v>
      </c>
      <c r="N421" s="52">
        <f t="shared" si="15"/>
        <v>1</v>
      </c>
    </row>
    <row r="422" spans="1:14">
      <c r="A422" s="149" t="s">
        <v>112</v>
      </c>
      <c r="B422" s="17" t="s">
        <v>113</v>
      </c>
      <c r="C422" s="18">
        <v>12120000</v>
      </c>
      <c r="D422" s="18">
        <v>12120000</v>
      </c>
      <c r="E422" s="28"/>
      <c r="F422" s="18">
        <v>1010000</v>
      </c>
      <c r="G422" s="18">
        <v>1010000</v>
      </c>
      <c r="H422" s="18">
        <v>1010000</v>
      </c>
      <c r="I422" s="18">
        <v>1010000</v>
      </c>
      <c r="J422" s="18">
        <v>1010000</v>
      </c>
      <c r="K422" s="18">
        <v>1010000</v>
      </c>
      <c r="L422" s="157">
        <v>1010000</v>
      </c>
      <c r="M422" s="51">
        <f t="shared" si="14"/>
        <v>7070000</v>
      </c>
      <c r="N422" s="52">
        <f t="shared" si="15"/>
        <v>0.58333333333333337</v>
      </c>
    </row>
    <row r="423" spans="1:14" ht="25.75">
      <c r="A423" s="151" t="s">
        <v>175</v>
      </c>
      <c r="B423" s="23" t="s">
        <v>176</v>
      </c>
      <c r="C423" s="25">
        <v>1500000</v>
      </c>
      <c r="D423" s="25">
        <v>1500000</v>
      </c>
      <c r="E423" s="29"/>
      <c r="F423" s="25">
        <v>0</v>
      </c>
      <c r="G423" s="25">
        <v>0</v>
      </c>
      <c r="H423" s="25">
        <v>0</v>
      </c>
      <c r="I423" s="25">
        <v>0</v>
      </c>
      <c r="J423" s="25">
        <v>0</v>
      </c>
      <c r="K423" s="25">
        <v>0</v>
      </c>
      <c r="L423" s="160">
        <v>0</v>
      </c>
      <c r="M423" s="51">
        <f t="shared" si="14"/>
        <v>0</v>
      </c>
      <c r="N423" s="52">
        <f t="shared" si="15"/>
        <v>0</v>
      </c>
    </row>
    <row r="424" spans="1:14" ht="25.75">
      <c r="A424" s="149" t="s">
        <v>177</v>
      </c>
      <c r="B424" s="17" t="s">
        <v>178</v>
      </c>
      <c r="C424" s="18">
        <v>1500000</v>
      </c>
      <c r="D424" s="18">
        <v>1500000</v>
      </c>
      <c r="E424" s="28"/>
      <c r="F424" s="18">
        <v>0</v>
      </c>
      <c r="G424" s="18">
        <v>0</v>
      </c>
      <c r="H424" s="18">
        <v>0</v>
      </c>
      <c r="I424" s="18">
        <v>0</v>
      </c>
      <c r="J424" s="18">
        <v>0</v>
      </c>
      <c r="K424" s="18">
        <v>0</v>
      </c>
      <c r="L424" s="157">
        <v>0</v>
      </c>
      <c r="M424" s="51">
        <f t="shared" si="14"/>
        <v>0</v>
      </c>
      <c r="N424" s="52">
        <f t="shared" si="15"/>
        <v>0</v>
      </c>
    </row>
    <row r="425" spans="1:14">
      <c r="A425" s="149" t="s">
        <v>179</v>
      </c>
      <c r="B425" s="17" t="s">
        <v>180</v>
      </c>
      <c r="C425" s="18">
        <v>1500000</v>
      </c>
      <c r="D425" s="18">
        <v>1500000</v>
      </c>
      <c r="E425" s="28"/>
      <c r="F425" s="18">
        <v>0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57">
        <v>0</v>
      </c>
      <c r="M425" s="51">
        <f t="shared" si="14"/>
        <v>0</v>
      </c>
      <c r="N425" s="52">
        <f t="shared" si="15"/>
        <v>0</v>
      </c>
    </row>
    <row r="426" spans="1:14">
      <c r="A426" s="149" t="s">
        <v>297</v>
      </c>
      <c r="B426" s="17" t="s">
        <v>298</v>
      </c>
      <c r="C426" s="18">
        <v>10000000</v>
      </c>
      <c r="D426" s="18">
        <v>10000000</v>
      </c>
      <c r="E426" s="28"/>
      <c r="F426" s="18">
        <v>0</v>
      </c>
      <c r="G426" s="18">
        <v>0</v>
      </c>
      <c r="H426" s="18">
        <v>0</v>
      </c>
      <c r="I426" s="18">
        <v>0</v>
      </c>
      <c r="J426" s="18">
        <v>10000000</v>
      </c>
      <c r="K426" s="18">
        <v>0</v>
      </c>
      <c r="L426" s="157">
        <v>0</v>
      </c>
      <c r="M426" s="51">
        <f t="shared" si="14"/>
        <v>10000000</v>
      </c>
      <c r="N426" s="52">
        <f t="shared" si="15"/>
        <v>1</v>
      </c>
    </row>
    <row r="427" spans="1:14">
      <c r="A427" s="150" t="s">
        <v>24</v>
      </c>
      <c r="B427" s="19" t="s">
        <v>25</v>
      </c>
      <c r="C427" s="21">
        <v>10000000</v>
      </c>
      <c r="D427" s="21">
        <v>10000000</v>
      </c>
      <c r="E427" s="30"/>
      <c r="F427" s="21">
        <v>0</v>
      </c>
      <c r="G427" s="21">
        <v>0</v>
      </c>
      <c r="H427" s="21">
        <v>0</v>
      </c>
      <c r="I427" s="21">
        <v>0</v>
      </c>
      <c r="J427" s="21">
        <v>10000000</v>
      </c>
      <c r="K427" s="21">
        <v>0</v>
      </c>
      <c r="L427" s="163">
        <v>0</v>
      </c>
      <c r="M427" s="51">
        <f t="shared" si="14"/>
        <v>10000000</v>
      </c>
      <c r="N427" s="52">
        <f t="shared" si="15"/>
        <v>1</v>
      </c>
    </row>
    <row r="428" spans="1:14">
      <c r="A428" s="151" t="s">
        <v>26</v>
      </c>
      <c r="B428" s="23" t="s">
        <v>27</v>
      </c>
      <c r="C428" s="25">
        <v>4300000</v>
      </c>
      <c r="D428" s="25">
        <v>4300000</v>
      </c>
      <c r="E428" s="29"/>
      <c r="F428" s="25">
        <v>0</v>
      </c>
      <c r="G428" s="25">
        <v>0</v>
      </c>
      <c r="H428" s="25">
        <v>0</v>
      </c>
      <c r="I428" s="25">
        <v>0</v>
      </c>
      <c r="J428" s="25">
        <v>4300000</v>
      </c>
      <c r="K428" s="25">
        <v>0</v>
      </c>
      <c r="L428" s="160">
        <v>0</v>
      </c>
      <c r="M428" s="51">
        <f t="shared" si="14"/>
        <v>4300000</v>
      </c>
      <c r="N428" s="52">
        <f t="shared" si="15"/>
        <v>1</v>
      </c>
    </row>
    <row r="429" spans="1:14">
      <c r="A429" s="149" t="s">
        <v>28</v>
      </c>
      <c r="B429" s="17" t="s">
        <v>29</v>
      </c>
      <c r="C429" s="18">
        <v>4300000</v>
      </c>
      <c r="D429" s="18">
        <v>4300000</v>
      </c>
      <c r="E429" s="28"/>
      <c r="F429" s="18">
        <v>0</v>
      </c>
      <c r="G429" s="18">
        <v>0</v>
      </c>
      <c r="H429" s="18">
        <v>0</v>
      </c>
      <c r="I429" s="18">
        <v>0</v>
      </c>
      <c r="J429" s="18">
        <v>4300000</v>
      </c>
      <c r="K429" s="18">
        <v>0</v>
      </c>
      <c r="L429" s="157">
        <v>0</v>
      </c>
      <c r="M429" s="51">
        <f t="shared" si="14"/>
        <v>4300000</v>
      </c>
      <c r="N429" s="52">
        <f t="shared" si="15"/>
        <v>1</v>
      </c>
    </row>
    <row r="430" spans="1:14">
      <c r="A430" s="149" t="s">
        <v>30</v>
      </c>
      <c r="B430" s="17" t="s">
        <v>31</v>
      </c>
      <c r="C430" s="18">
        <v>1771800</v>
      </c>
      <c r="D430" s="18">
        <v>1771800</v>
      </c>
      <c r="E430" s="28"/>
      <c r="F430" s="18">
        <v>0</v>
      </c>
      <c r="G430" s="18">
        <v>0</v>
      </c>
      <c r="H430" s="18">
        <v>0</v>
      </c>
      <c r="I430" s="18">
        <v>0</v>
      </c>
      <c r="J430" s="18">
        <v>1771800</v>
      </c>
      <c r="K430" s="18">
        <v>0</v>
      </c>
      <c r="L430" s="157">
        <v>0</v>
      </c>
      <c r="M430" s="51">
        <f t="shared" si="14"/>
        <v>1771800</v>
      </c>
      <c r="N430" s="52">
        <f t="shared" si="15"/>
        <v>1</v>
      </c>
    </row>
    <row r="431" spans="1:14">
      <c r="A431" s="149" t="s">
        <v>32</v>
      </c>
      <c r="B431" s="17" t="s">
        <v>33</v>
      </c>
      <c r="C431" s="18">
        <v>137800</v>
      </c>
      <c r="D431" s="18">
        <v>137800</v>
      </c>
      <c r="E431" s="28"/>
      <c r="F431" s="18">
        <v>0</v>
      </c>
      <c r="G431" s="18">
        <v>0</v>
      </c>
      <c r="H431" s="18">
        <v>0</v>
      </c>
      <c r="I431" s="18">
        <v>0</v>
      </c>
      <c r="J431" s="18">
        <v>137800</v>
      </c>
      <c r="K431" s="18">
        <v>0</v>
      </c>
      <c r="L431" s="157">
        <v>0</v>
      </c>
      <c r="M431" s="51">
        <f t="shared" si="14"/>
        <v>137800</v>
      </c>
      <c r="N431" s="52">
        <f t="shared" si="15"/>
        <v>1</v>
      </c>
    </row>
    <row r="432" spans="1:14">
      <c r="A432" s="149" t="s">
        <v>34</v>
      </c>
      <c r="B432" s="17" t="s">
        <v>35</v>
      </c>
      <c r="C432" s="18">
        <v>465400</v>
      </c>
      <c r="D432" s="18">
        <v>465400</v>
      </c>
      <c r="E432" s="28"/>
      <c r="F432" s="18">
        <v>0</v>
      </c>
      <c r="G432" s="18">
        <v>0</v>
      </c>
      <c r="H432" s="18">
        <v>0</v>
      </c>
      <c r="I432" s="18">
        <v>0</v>
      </c>
      <c r="J432" s="18">
        <v>465400</v>
      </c>
      <c r="K432" s="18">
        <v>0</v>
      </c>
      <c r="L432" s="157">
        <v>0</v>
      </c>
      <c r="M432" s="51">
        <f t="shared" si="14"/>
        <v>465400</v>
      </c>
      <c r="N432" s="52">
        <f t="shared" si="15"/>
        <v>1</v>
      </c>
    </row>
    <row r="433" spans="1:14">
      <c r="A433" s="149" t="s">
        <v>137</v>
      </c>
      <c r="B433" s="17" t="s">
        <v>138</v>
      </c>
      <c r="C433" s="18">
        <v>1925000</v>
      </c>
      <c r="D433" s="18">
        <v>1925000</v>
      </c>
      <c r="E433" s="28"/>
      <c r="F433" s="18">
        <v>0</v>
      </c>
      <c r="G433" s="18">
        <v>0</v>
      </c>
      <c r="H433" s="18">
        <v>0</v>
      </c>
      <c r="I433" s="18">
        <v>0</v>
      </c>
      <c r="J433" s="18">
        <v>1925000</v>
      </c>
      <c r="K433" s="18">
        <v>0</v>
      </c>
      <c r="L433" s="157">
        <v>0</v>
      </c>
      <c r="M433" s="51">
        <f t="shared" si="14"/>
        <v>1925000</v>
      </c>
      <c r="N433" s="52">
        <f t="shared" si="15"/>
        <v>1</v>
      </c>
    </row>
    <row r="434" spans="1:14">
      <c r="A434" s="151" t="s">
        <v>36</v>
      </c>
      <c r="B434" s="23" t="s">
        <v>37</v>
      </c>
      <c r="C434" s="25">
        <v>4200000</v>
      </c>
      <c r="D434" s="25">
        <v>4200000</v>
      </c>
      <c r="E434" s="29"/>
      <c r="F434" s="25">
        <v>0</v>
      </c>
      <c r="G434" s="25">
        <v>0</v>
      </c>
      <c r="H434" s="25">
        <v>0</v>
      </c>
      <c r="I434" s="25">
        <v>0</v>
      </c>
      <c r="J434" s="25">
        <v>4200000</v>
      </c>
      <c r="K434" s="25">
        <v>0</v>
      </c>
      <c r="L434" s="160">
        <v>0</v>
      </c>
      <c r="M434" s="51">
        <f t="shared" si="14"/>
        <v>4200000</v>
      </c>
      <c r="N434" s="52">
        <f t="shared" si="15"/>
        <v>1</v>
      </c>
    </row>
    <row r="435" spans="1:14">
      <c r="A435" s="149" t="s">
        <v>38</v>
      </c>
      <c r="B435" s="17" t="s">
        <v>39</v>
      </c>
      <c r="C435" s="18">
        <v>4200000</v>
      </c>
      <c r="D435" s="18">
        <v>4200000</v>
      </c>
      <c r="E435" s="28"/>
      <c r="F435" s="18">
        <v>0</v>
      </c>
      <c r="G435" s="18">
        <v>0</v>
      </c>
      <c r="H435" s="18">
        <v>0</v>
      </c>
      <c r="I435" s="18">
        <v>0</v>
      </c>
      <c r="J435" s="18">
        <v>4200000</v>
      </c>
      <c r="K435" s="18">
        <v>0</v>
      </c>
      <c r="L435" s="157">
        <v>0</v>
      </c>
      <c r="M435" s="51">
        <f t="shared" si="14"/>
        <v>4200000</v>
      </c>
      <c r="N435" s="52">
        <f t="shared" si="15"/>
        <v>1</v>
      </c>
    </row>
    <row r="436" spans="1:14" ht="25.75">
      <c r="A436" s="149" t="s">
        <v>247</v>
      </c>
      <c r="B436" s="17" t="s">
        <v>248</v>
      </c>
      <c r="C436" s="18">
        <v>4200000</v>
      </c>
      <c r="D436" s="18">
        <v>4200000</v>
      </c>
      <c r="E436" s="28"/>
      <c r="F436" s="18">
        <v>0</v>
      </c>
      <c r="G436" s="18">
        <v>0</v>
      </c>
      <c r="H436" s="18">
        <v>0</v>
      </c>
      <c r="I436" s="18">
        <v>0</v>
      </c>
      <c r="J436" s="18">
        <v>4200000</v>
      </c>
      <c r="K436" s="18">
        <v>0</v>
      </c>
      <c r="L436" s="157">
        <v>0</v>
      </c>
      <c r="M436" s="51">
        <f t="shared" si="14"/>
        <v>4200000</v>
      </c>
      <c r="N436" s="52">
        <f t="shared" si="15"/>
        <v>1</v>
      </c>
    </row>
    <row r="437" spans="1:14">
      <c r="A437" s="151" t="s">
        <v>42</v>
      </c>
      <c r="B437" s="23" t="s">
        <v>43</v>
      </c>
      <c r="C437" s="25">
        <v>1500000</v>
      </c>
      <c r="D437" s="25">
        <v>1500000</v>
      </c>
      <c r="E437" s="29"/>
      <c r="F437" s="25">
        <v>0</v>
      </c>
      <c r="G437" s="25">
        <v>0</v>
      </c>
      <c r="H437" s="25">
        <v>0</v>
      </c>
      <c r="I437" s="25">
        <v>0</v>
      </c>
      <c r="J437" s="25">
        <v>1500000</v>
      </c>
      <c r="K437" s="25">
        <v>0</v>
      </c>
      <c r="L437" s="160">
        <v>0</v>
      </c>
      <c r="M437" s="51">
        <f t="shared" si="14"/>
        <v>1500000</v>
      </c>
      <c r="N437" s="52">
        <f t="shared" si="15"/>
        <v>1</v>
      </c>
    </row>
    <row r="438" spans="1:14">
      <c r="A438" s="149" t="s">
        <v>44</v>
      </c>
      <c r="B438" s="17" t="s">
        <v>45</v>
      </c>
      <c r="C438" s="18">
        <v>1500000</v>
      </c>
      <c r="D438" s="18">
        <v>1500000</v>
      </c>
      <c r="E438" s="28"/>
      <c r="F438" s="18">
        <v>0</v>
      </c>
      <c r="G438" s="18">
        <v>0</v>
      </c>
      <c r="H438" s="18">
        <v>0</v>
      </c>
      <c r="I438" s="18">
        <v>0</v>
      </c>
      <c r="J438" s="18">
        <v>1500000</v>
      </c>
      <c r="K438" s="18">
        <v>0</v>
      </c>
      <c r="L438" s="157">
        <v>0</v>
      </c>
      <c r="M438" s="51">
        <f t="shared" si="14"/>
        <v>1500000</v>
      </c>
      <c r="N438" s="52">
        <f t="shared" si="15"/>
        <v>1</v>
      </c>
    </row>
    <row r="439" spans="1:14">
      <c r="A439" s="149" t="s">
        <v>249</v>
      </c>
      <c r="B439" s="17" t="s">
        <v>250</v>
      </c>
      <c r="C439" s="18">
        <v>1500000</v>
      </c>
      <c r="D439" s="18">
        <v>1500000</v>
      </c>
      <c r="E439" s="28"/>
      <c r="F439" s="18">
        <v>0</v>
      </c>
      <c r="G439" s="18">
        <v>0</v>
      </c>
      <c r="H439" s="18">
        <v>0</v>
      </c>
      <c r="I439" s="18">
        <v>0</v>
      </c>
      <c r="J439" s="18">
        <v>1500000</v>
      </c>
      <c r="K439" s="18">
        <v>0</v>
      </c>
      <c r="L439" s="157">
        <v>0</v>
      </c>
      <c r="M439" s="51">
        <f t="shared" si="14"/>
        <v>1500000</v>
      </c>
      <c r="N439" s="52">
        <f t="shared" si="15"/>
        <v>1</v>
      </c>
    </row>
    <row r="440" spans="1:14">
      <c r="A440" s="146" t="s">
        <v>299</v>
      </c>
      <c r="B440" s="5" t="s">
        <v>300</v>
      </c>
      <c r="C440" s="7">
        <v>168979300</v>
      </c>
      <c r="D440" s="7">
        <v>168979300</v>
      </c>
      <c r="E440" s="32"/>
      <c r="F440" s="7">
        <v>12360000</v>
      </c>
      <c r="G440" s="7">
        <v>20725600</v>
      </c>
      <c r="H440" s="7">
        <v>12360000</v>
      </c>
      <c r="I440" s="7">
        <v>12360000</v>
      </c>
      <c r="J440" s="7">
        <v>20130000</v>
      </c>
      <c r="K440" s="7">
        <v>13922200</v>
      </c>
      <c r="L440" s="166">
        <v>12360000</v>
      </c>
      <c r="M440" s="51">
        <f t="shared" si="14"/>
        <v>104217800</v>
      </c>
      <c r="N440" s="52">
        <f t="shared" si="15"/>
        <v>0.6167489153996969</v>
      </c>
    </row>
    <row r="441" spans="1:14">
      <c r="A441" s="147" t="s">
        <v>16</v>
      </c>
      <c r="B441" s="9" t="s">
        <v>17</v>
      </c>
      <c r="C441" s="11">
        <v>168979300</v>
      </c>
      <c r="D441" s="11">
        <v>168979300</v>
      </c>
      <c r="E441" s="27"/>
      <c r="F441" s="11">
        <v>12360000</v>
      </c>
      <c r="G441" s="11">
        <v>20725600</v>
      </c>
      <c r="H441" s="11">
        <v>12360000</v>
      </c>
      <c r="I441" s="11">
        <v>12360000</v>
      </c>
      <c r="J441" s="11">
        <v>20130000</v>
      </c>
      <c r="K441" s="11">
        <v>13922200</v>
      </c>
      <c r="L441" s="155">
        <v>12360000</v>
      </c>
      <c r="M441" s="51">
        <f t="shared" si="14"/>
        <v>104217800</v>
      </c>
      <c r="N441" s="52">
        <f t="shared" si="15"/>
        <v>0.6167489153996969</v>
      </c>
    </row>
    <row r="442" spans="1:14">
      <c r="A442" s="147" t="s">
        <v>16</v>
      </c>
      <c r="B442" s="9" t="s">
        <v>17</v>
      </c>
      <c r="C442" s="11">
        <v>168979300</v>
      </c>
      <c r="D442" s="11">
        <v>168979300</v>
      </c>
      <c r="E442" s="27"/>
      <c r="F442" s="11">
        <v>12360000</v>
      </c>
      <c r="G442" s="11">
        <v>20725600</v>
      </c>
      <c r="H442" s="11">
        <v>12360000</v>
      </c>
      <c r="I442" s="11">
        <v>12360000</v>
      </c>
      <c r="J442" s="11">
        <v>20130000</v>
      </c>
      <c r="K442" s="11">
        <v>13922200</v>
      </c>
      <c r="L442" s="155">
        <v>12360000</v>
      </c>
      <c r="M442" s="51">
        <f t="shared" si="14"/>
        <v>104217800</v>
      </c>
      <c r="N442" s="52">
        <f t="shared" si="15"/>
        <v>0.6167489153996969</v>
      </c>
    </row>
    <row r="443" spans="1:14" ht="25.75">
      <c r="A443" s="148" t="s">
        <v>301</v>
      </c>
      <c r="B443" s="13" t="s">
        <v>302</v>
      </c>
      <c r="C443" s="15">
        <v>168979300</v>
      </c>
      <c r="D443" s="15">
        <v>168979300</v>
      </c>
      <c r="E443" s="31"/>
      <c r="F443" s="15">
        <v>12360000</v>
      </c>
      <c r="G443" s="15">
        <v>20725600</v>
      </c>
      <c r="H443" s="15">
        <v>12360000</v>
      </c>
      <c r="I443" s="15">
        <v>12360000</v>
      </c>
      <c r="J443" s="15">
        <v>20130000</v>
      </c>
      <c r="K443" s="15">
        <v>13922200</v>
      </c>
      <c r="L443" s="165">
        <v>12360000</v>
      </c>
      <c r="M443" s="51">
        <f t="shared" si="14"/>
        <v>104217800</v>
      </c>
      <c r="N443" s="52">
        <f t="shared" si="15"/>
        <v>0.6167489153996969</v>
      </c>
    </row>
    <row r="444" spans="1:14" ht="25.75">
      <c r="A444" s="147" t="s">
        <v>303</v>
      </c>
      <c r="B444" s="9" t="s">
        <v>304</v>
      </c>
      <c r="C444" s="11">
        <v>72293700</v>
      </c>
      <c r="D444" s="11">
        <v>72293700</v>
      </c>
      <c r="E444" s="27"/>
      <c r="F444" s="11">
        <v>5000000</v>
      </c>
      <c r="G444" s="11">
        <v>5000000</v>
      </c>
      <c r="H444" s="11">
        <v>5000000</v>
      </c>
      <c r="I444" s="11">
        <v>5000000</v>
      </c>
      <c r="J444" s="11">
        <v>12770000</v>
      </c>
      <c r="K444" s="11">
        <v>6562200</v>
      </c>
      <c r="L444" s="155">
        <v>5000000</v>
      </c>
      <c r="M444" s="51">
        <f t="shared" si="14"/>
        <v>44332200</v>
      </c>
      <c r="N444" s="52">
        <f t="shared" si="15"/>
        <v>0.61322355889932323</v>
      </c>
    </row>
    <row r="445" spans="1:14" ht="25.75">
      <c r="A445" s="149" t="s">
        <v>305</v>
      </c>
      <c r="B445" s="17" t="s">
        <v>306</v>
      </c>
      <c r="C445" s="18">
        <v>9591500</v>
      </c>
      <c r="D445" s="18">
        <v>9591500</v>
      </c>
      <c r="E445" s="28"/>
      <c r="F445" s="18">
        <v>0</v>
      </c>
      <c r="G445" s="18">
        <v>0</v>
      </c>
      <c r="H445" s="18">
        <v>0</v>
      </c>
      <c r="I445" s="18">
        <v>0</v>
      </c>
      <c r="J445" s="18">
        <v>7770000</v>
      </c>
      <c r="K445" s="18">
        <v>0</v>
      </c>
      <c r="L445" s="157">
        <v>0</v>
      </c>
      <c r="M445" s="51">
        <f t="shared" si="14"/>
        <v>7770000</v>
      </c>
      <c r="N445" s="52">
        <f t="shared" si="15"/>
        <v>0.81009226919668453</v>
      </c>
    </row>
    <row r="446" spans="1:14">
      <c r="A446" s="150" t="s">
        <v>24</v>
      </c>
      <c r="B446" s="19" t="s">
        <v>25</v>
      </c>
      <c r="C446" s="21">
        <v>9591500</v>
      </c>
      <c r="D446" s="21">
        <v>9591500</v>
      </c>
      <c r="E446" s="30"/>
      <c r="F446" s="21">
        <v>0</v>
      </c>
      <c r="G446" s="21">
        <v>0</v>
      </c>
      <c r="H446" s="21">
        <v>0</v>
      </c>
      <c r="I446" s="21">
        <v>0</v>
      </c>
      <c r="J446" s="21">
        <v>7770000</v>
      </c>
      <c r="K446" s="21">
        <v>0</v>
      </c>
      <c r="L446" s="163">
        <v>0</v>
      </c>
      <c r="M446" s="51">
        <f t="shared" si="14"/>
        <v>7770000</v>
      </c>
      <c r="N446" s="52">
        <f t="shared" si="15"/>
        <v>0.81009226919668453</v>
      </c>
    </row>
    <row r="447" spans="1:14">
      <c r="A447" s="151" t="s">
        <v>26</v>
      </c>
      <c r="B447" s="23" t="s">
        <v>27</v>
      </c>
      <c r="C447" s="25">
        <v>1821500</v>
      </c>
      <c r="D447" s="25">
        <v>1821500</v>
      </c>
      <c r="E447" s="29"/>
      <c r="F447" s="25">
        <v>0</v>
      </c>
      <c r="G447" s="25">
        <v>0</v>
      </c>
      <c r="H447" s="25">
        <v>0</v>
      </c>
      <c r="I447" s="25">
        <v>0</v>
      </c>
      <c r="J447" s="25">
        <v>0</v>
      </c>
      <c r="K447" s="25">
        <v>0</v>
      </c>
      <c r="L447" s="160">
        <v>0</v>
      </c>
      <c r="M447" s="51">
        <f t="shared" si="14"/>
        <v>0</v>
      </c>
      <c r="N447" s="52">
        <f t="shared" si="15"/>
        <v>0</v>
      </c>
    </row>
    <row r="448" spans="1:14">
      <c r="A448" s="149" t="s">
        <v>28</v>
      </c>
      <c r="B448" s="17" t="s">
        <v>29</v>
      </c>
      <c r="C448" s="18">
        <v>1821500</v>
      </c>
      <c r="D448" s="18">
        <v>1821500</v>
      </c>
      <c r="E448" s="28"/>
      <c r="F448" s="18">
        <v>0</v>
      </c>
      <c r="G448" s="18">
        <v>0</v>
      </c>
      <c r="H448" s="18">
        <v>0</v>
      </c>
      <c r="I448" s="18">
        <v>0</v>
      </c>
      <c r="J448" s="18">
        <v>0</v>
      </c>
      <c r="K448" s="18">
        <v>0</v>
      </c>
      <c r="L448" s="157">
        <v>0</v>
      </c>
      <c r="M448" s="51">
        <f t="shared" si="14"/>
        <v>0</v>
      </c>
      <c r="N448" s="52">
        <f t="shared" si="15"/>
        <v>0</v>
      </c>
    </row>
    <row r="449" spans="1:14">
      <c r="A449" s="149" t="s">
        <v>30</v>
      </c>
      <c r="B449" s="17" t="s">
        <v>31</v>
      </c>
      <c r="C449" s="18">
        <v>1393300</v>
      </c>
      <c r="D449" s="18">
        <v>1393300</v>
      </c>
      <c r="E449" s="28"/>
      <c r="F449" s="18">
        <v>0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57">
        <v>0</v>
      </c>
      <c r="M449" s="51">
        <f t="shared" si="14"/>
        <v>0</v>
      </c>
      <c r="N449" s="52">
        <f t="shared" si="15"/>
        <v>0</v>
      </c>
    </row>
    <row r="450" spans="1:14">
      <c r="A450" s="149" t="s">
        <v>32</v>
      </c>
      <c r="B450" s="17" t="s">
        <v>33</v>
      </c>
      <c r="C450" s="18">
        <v>137800</v>
      </c>
      <c r="D450" s="18">
        <v>137800</v>
      </c>
      <c r="E450" s="28"/>
      <c r="F450" s="18">
        <v>0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57">
        <v>0</v>
      </c>
      <c r="M450" s="51">
        <f t="shared" si="14"/>
        <v>0</v>
      </c>
      <c r="N450" s="52">
        <f t="shared" si="15"/>
        <v>0</v>
      </c>
    </row>
    <row r="451" spans="1:14">
      <c r="A451" s="149" t="s">
        <v>237</v>
      </c>
      <c r="B451" s="17" t="s">
        <v>238</v>
      </c>
      <c r="C451" s="18">
        <v>100000</v>
      </c>
      <c r="D451" s="18">
        <v>100000</v>
      </c>
      <c r="E451" s="28"/>
      <c r="F451" s="18">
        <v>0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57">
        <v>0</v>
      </c>
      <c r="M451" s="51">
        <f t="shared" si="14"/>
        <v>0</v>
      </c>
      <c r="N451" s="52">
        <f t="shared" si="15"/>
        <v>0</v>
      </c>
    </row>
    <row r="452" spans="1:14">
      <c r="A452" s="149" t="s">
        <v>34</v>
      </c>
      <c r="B452" s="17" t="s">
        <v>35</v>
      </c>
      <c r="C452" s="18">
        <v>190400</v>
      </c>
      <c r="D452" s="18">
        <v>190400</v>
      </c>
      <c r="E452" s="28"/>
      <c r="F452" s="18">
        <v>0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57">
        <v>0</v>
      </c>
      <c r="M452" s="51">
        <f t="shared" si="14"/>
        <v>0</v>
      </c>
      <c r="N452" s="52">
        <f t="shared" si="15"/>
        <v>0</v>
      </c>
    </row>
    <row r="453" spans="1:14">
      <c r="A453" s="151" t="s">
        <v>42</v>
      </c>
      <c r="B453" s="23" t="s">
        <v>43</v>
      </c>
      <c r="C453" s="25">
        <v>7770000</v>
      </c>
      <c r="D453" s="25">
        <v>7770000</v>
      </c>
      <c r="E453" s="29"/>
      <c r="F453" s="25">
        <v>0</v>
      </c>
      <c r="G453" s="25">
        <v>0</v>
      </c>
      <c r="H453" s="25">
        <v>0</v>
      </c>
      <c r="I453" s="25">
        <v>0</v>
      </c>
      <c r="J453" s="25">
        <v>7770000</v>
      </c>
      <c r="K453" s="25">
        <v>0</v>
      </c>
      <c r="L453" s="160">
        <v>0</v>
      </c>
      <c r="M453" s="51">
        <f t="shared" si="14"/>
        <v>7770000</v>
      </c>
      <c r="N453" s="52">
        <f t="shared" si="15"/>
        <v>1</v>
      </c>
    </row>
    <row r="454" spans="1:14">
      <c r="A454" s="149" t="s">
        <v>44</v>
      </c>
      <c r="B454" s="17" t="s">
        <v>45</v>
      </c>
      <c r="C454" s="18">
        <v>7770000</v>
      </c>
      <c r="D454" s="18">
        <v>7770000</v>
      </c>
      <c r="E454" s="28"/>
      <c r="F454" s="18">
        <v>0</v>
      </c>
      <c r="G454" s="18">
        <v>0</v>
      </c>
      <c r="H454" s="18">
        <v>0</v>
      </c>
      <c r="I454" s="18">
        <v>0</v>
      </c>
      <c r="J454" s="18">
        <v>7770000</v>
      </c>
      <c r="K454" s="18">
        <v>0</v>
      </c>
      <c r="L454" s="157">
        <v>0</v>
      </c>
      <c r="M454" s="51">
        <f t="shared" si="14"/>
        <v>7770000</v>
      </c>
      <c r="N454" s="52">
        <f t="shared" si="15"/>
        <v>1</v>
      </c>
    </row>
    <row r="455" spans="1:14">
      <c r="A455" s="149" t="s">
        <v>46</v>
      </c>
      <c r="B455" s="17" t="s">
        <v>47</v>
      </c>
      <c r="C455" s="18">
        <v>7770000</v>
      </c>
      <c r="D455" s="18">
        <v>7770000</v>
      </c>
      <c r="E455" s="28"/>
      <c r="F455" s="18">
        <v>0</v>
      </c>
      <c r="G455" s="18">
        <v>0</v>
      </c>
      <c r="H455" s="18">
        <v>0</v>
      </c>
      <c r="I455" s="18">
        <v>0</v>
      </c>
      <c r="J455" s="18">
        <v>7770000</v>
      </c>
      <c r="K455" s="18">
        <v>0</v>
      </c>
      <c r="L455" s="157">
        <v>0</v>
      </c>
      <c r="M455" s="51">
        <f t="shared" si="14"/>
        <v>7770000</v>
      </c>
      <c r="N455" s="52">
        <f t="shared" si="15"/>
        <v>1</v>
      </c>
    </row>
    <row r="456" spans="1:14" ht="25.75">
      <c r="A456" s="149" t="s">
        <v>307</v>
      </c>
      <c r="B456" s="17" t="s">
        <v>308</v>
      </c>
      <c r="C456" s="18">
        <v>62702200</v>
      </c>
      <c r="D456" s="18">
        <v>62702200</v>
      </c>
      <c r="E456" s="28"/>
      <c r="F456" s="18">
        <v>5000000</v>
      </c>
      <c r="G456" s="18">
        <v>5000000</v>
      </c>
      <c r="H456" s="18">
        <v>5000000</v>
      </c>
      <c r="I456" s="18">
        <v>5000000</v>
      </c>
      <c r="J456" s="18">
        <v>5000000</v>
      </c>
      <c r="K456" s="18">
        <v>6562200</v>
      </c>
      <c r="L456" s="157">
        <v>5000000</v>
      </c>
      <c r="M456" s="51">
        <f t="shared" si="14"/>
        <v>36562200</v>
      </c>
      <c r="N456" s="52">
        <f t="shared" si="15"/>
        <v>0.58310872664754987</v>
      </c>
    </row>
    <row r="457" spans="1:14">
      <c r="A457" s="150" t="s">
        <v>24</v>
      </c>
      <c r="B457" s="19" t="s">
        <v>25</v>
      </c>
      <c r="C457" s="21">
        <v>62702200</v>
      </c>
      <c r="D457" s="21">
        <v>62702200</v>
      </c>
      <c r="E457" s="30"/>
      <c r="F457" s="21">
        <v>5000000</v>
      </c>
      <c r="G457" s="21">
        <v>5000000</v>
      </c>
      <c r="H457" s="21">
        <v>5000000</v>
      </c>
      <c r="I457" s="21">
        <v>5000000</v>
      </c>
      <c r="J457" s="21">
        <v>5000000</v>
      </c>
      <c r="K457" s="21">
        <v>6562200</v>
      </c>
      <c r="L457" s="163">
        <v>5000000</v>
      </c>
      <c r="M457" s="51">
        <f t="shared" si="14"/>
        <v>36562200</v>
      </c>
      <c r="N457" s="52">
        <f t="shared" si="15"/>
        <v>0.58310872664754987</v>
      </c>
    </row>
    <row r="458" spans="1:14">
      <c r="A458" s="151" t="s">
        <v>26</v>
      </c>
      <c r="B458" s="23" t="s">
        <v>27</v>
      </c>
      <c r="C458" s="25">
        <v>1562200</v>
      </c>
      <c r="D458" s="25">
        <v>1562200</v>
      </c>
      <c r="E458" s="29"/>
      <c r="F458" s="25">
        <v>0</v>
      </c>
      <c r="G458" s="25">
        <v>0</v>
      </c>
      <c r="H458" s="25">
        <v>0</v>
      </c>
      <c r="I458" s="25">
        <v>0</v>
      </c>
      <c r="J458" s="25">
        <v>0</v>
      </c>
      <c r="K458" s="25">
        <v>1562200</v>
      </c>
      <c r="L458" s="160">
        <v>0</v>
      </c>
      <c r="M458" s="51">
        <f t="shared" si="14"/>
        <v>1562200</v>
      </c>
      <c r="N458" s="52">
        <f t="shared" si="15"/>
        <v>1</v>
      </c>
    </row>
    <row r="459" spans="1:14">
      <c r="A459" s="149" t="s">
        <v>28</v>
      </c>
      <c r="B459" s="17" t="s">
        <v>29</v>
      </c>
      <c r="C459" s="18">
        <v>1562200</v>
      </c>
      <c r="D459" s="18">
        <v>1562200</v>
      </c>
      <c r="E459" s="28"/>
      <c r="F459" s="18">
        <v>0</v>
      </c>
      <c r="G459" s="18">
        <v>0</v>
      </c>
      <c r="H459" s="18">
        <v>0</v>
      </c>
      <c r="I459" s="18">
        <v>0</v>
      </c>
      <c r="J459" s="18">
        <v>0</v>
      </c>
      <c r="K459" s="18">
        <v>1562200</v>
      </c>
      <c r="L459" s="157">
        <v>0</v>
      </c>
      <c r="M459" s="51">
        <f t="shared" si="14"/>
        <v>1562200</v>
      </c>
      <c r="N459" s="52">
        <f t="shared" si="15"/>
        <v>1</v>
      </c>
    </row>
    <row r="460" spans="1:14">
      <c r="A460" s="149" t="s">
        <v>30</v>
      </c>
      <c r="B460" s="17" t="s">
        <v>31</v>
      </c>
      <c r="C460" s="18">
        <v>1044700</v>
      </c>
      <c r="D460" s="18">
        <v>1044700</v>
      </c>
      <c r="E460" s="28"/>
      <c r="F460" s="18">
        <v>0</v>
      </c>
      <c r="G460" s="18">
        <v>0</v>
      </c>
      <c r="H460" s="18">
        <v>0</v>
      </c>
      <c r="I460" s="18">
        <v>0</v>
      </c>
      <c r="J460" s="18">
        <v>0</v>
      </c>
      <c r="K460" s="18">
        <v>1044700</v>
      </c>
      <c r="L460" s="157">
        <v>0</v>
      </c>
      <c r="M460" s="51">
        <f t="shared" si="14"/>
        <v>1044700</v>
      </c>
      <c r="N460" s="52">
        <f t="shared" si="15"/>
        <v>1</v>
      </c>
    </row>
    <row r="461" spans="1:14">
      <c r="A461" s="149" t="s">
        <v>32</v>
      </c>
      <c r="B461" s="17" t="s">
        <v>33</v>
      </c>
      <c r="C461" s="18">
        <v>137800</v>
      </c>
      <c r="D461" s="18">
        <v>137800</v>
      </c>
      <c r="E461" s="28"/>
      <c r="F461" s="18">
        <v>0</v>
      </c>
      <c r="G461" s="18">
        <v>0</v>
      </c>
      <c r="H461" s="18">
        <v>0</v>
      </c>
      <c r="I461" s="18">
        <v>0</v>
      </c>
      <c r="J461" s="18">
        <v>0</v>
      </c>
      <c r="K461" s="18">
        <v>137800</v>
      </c>
      <c r="L461" s="157">
        <v>0</v>
      </c>
      <c r="M461" s="51">
        <f t="shared" si="14"/>
        <v>137800</v>
      </c>
      <c r="N461" s="52">
        <f t="shared" si="15"/>
        <v>1</v>
      </c>
    </row>
    <row r="462" spans="1:14">
      <c r="A462" s="149" t="s">
        <v>237</v>
      </c>
      <c r="B462" s="17" t="s">
        <v>238</v>
      </c>
      <c r="C462" s="18">
        <v>100000</v>
      </c>
      <c r="D462" s="18">
        <v>100000</v>
      </c>
      <c r="E462" s="28"/>
      <c r="F462" s="18">
        <v>0</v>
      </c>
      <c r="G462" s="18">
        <v>0</v>
      </c>
      <c r="H462" s="18">
        <v>0</v>
      </c>
      <c r="I462" s="18">
        <v>0</v>
      </c>
      <c r="J462" s="18">
        <v>0</v>
      </c>
      <c r="K462" s="18">
        <v>100000</v>
      </c>
      <c r="L462" s="157">
        <v>0</v>
      </c>
      <c r="M462" s="51">
        <f t="shared" si="14"/>
        <v>100000</v>
      </c>
      <c r="N462" s="52">
        <f t="shared" si="15"/>
        <v>1</v>
      </c>
    </row>
    <row r="463" spans="1:14">
      <c r="A463" s="149" t="s">
        <v>34</v>
      </c>
      <c r="B463" s="17" t="s">
        <v>35</v>
      </c>
      <c r="C463" s="18">
        <v>279700</v>
      </c>
      <c r="D463" s="18">
        <v>279700</v>
      </c>
      <c r="E463" s="28"/>
      <c r="F463" s="18">
        <v>0</v>
      </c>
      <c r="G463" s="18">
        <v>0</v>
      </c>
      <c r="H463" s="18">
        <v>0</v>
      </c>
      <c r="I463" s="18">
        <v>0</v>
      </c>
      <c r="J463" s="18">
        <v>0</v>
      </c>
      <c r="K463" s="18">
        <v>279700</v>
      </c>
      <c r="L463" s="157">
        <v>0</v>
      </c>
      <c r="M463" s="51">
        <f t="shared" si="14"/>
        <v>279700</v>
      </c>
      <c r="N463" s="52">
        <f t="shared" si="15"/>
        <v>1</v>
      </c>
    </row>
    <row r="464" spans="1:14">
      <c r="A464" s="151" t="s">
        <v>36</v>
      </c>
      <c r="B464" s="23" t="s">
        <v>37</v>
      </c>
      <c r="C464" s="25">
        <v>60000000</v>
      </c>
      <c r="D464" s="25">
        <v>60000000</v>
      </c>
      <c r="E464" s="29"/>
      <c r="F464" s="25">
        <v>5000000</v>
      </c>
      <c r="G464" s="25">
        <v>5000000</v>
      </c>
      <c r="H464" s="25">
        <v>5000000</v>
      </c>
      <c r="I464" s="25">
        <v>5000000</v>
      </c>
      <c r="J464" s="25">
        <v>5000000</v>
      </c>
      <c r="K464" s="25">
        <v>5000000</v>
      </c>
      <c r="L464" s="160">
        <v>5000000</v>
      </c>
      <c r="M464" s="51">
        <f t="shared" si="14"/>
        <v>35000000</v>
      </c>
      <c r="N464" s="52">
        <f t="shared" si="15"/>
        <v>0.58333333333333337</v>
      </c>
    </row>
    <row r="465" spans="1:14">
      <c r="A465" s="149" t="s">
        <v>38</v>
      </c>
      <c r="B465" s="17" t="s">
        <v>39</v>
      </c>
      <c r="C465" s="18">
        <v>60000000</v>
      </c>
      <c r="D465" s="18">
        <v>60000000</v>
      </c>
      <c r="E465" s="28"/>
      <c r="F465" s="18">
        <v>5000000</v>
      </c>
      <c r="G465" s="18">
        <v>5000000</v>
      </c>
      <c r="H465" s="18">
        <v>5000000</v>
      </c>
      <c r="I465" s="18">
        <v>5000000</v>
      </c>
      <c r="J465" s="18">
        <v>5000000</v>
      </c>
      <c r="K465" s="18">
        <v>5000000</v>
      </c>
      <c r="L465" s="157">
        <v>5000000</v>
      </c>
      <c r="M465" s="51">
        <f t="shared" si="14"/>
        <v>35000000</v>
      </c>
      <c r="N465" s="52">
        <f t="shared" si="15"/>
        <v>0.58333333333333337</v>
      </c>
    </row>
    <row r="466" spans="1:14">
      <c r="A466" s="149" t="s">
        <v>259</v>
      </c>
      <c r="B466" s="17" t="s">
        <v>260</v>
      </c>
      <c r="C466" s="18">
        <v>60000000</v>
      </c>
      <c r="D466" s="18">
        <v>60000000</v>
      </c>
      <c r="E466" s="28"/>
      <c r="F466" s="18">
        <v>5000000</v>
      </c>
      <c r="G466" s="18">
        <v>5000000</v>
      </c>
      <c r="H466" s="18">
        <v>5000000</v>
      </c>
      <c r="I466" s="18">
        <v>5000000</v>
      </c>
      <c r="J466" s="18">
        <v>5000000</v>
      </c>
      <c r="K466" s="18">
        <v>5000000</v>
      </c>
      <c r="L466" s="157">
        <v>5000000</v>
      </c>
      <c r="M466" s="51">
        <f t="shared" si="14"/>
        <v>35000000</v>
      </c>
      <c r="N466" s="52">
        <f t="shared" si="15"/>
        <v>0.58333333333333337</v>
      </c>
    </row>
    <row r="467" spans="1:14">
      <c r="A467" s="151" t="s">
        <v>42</v>
      </c>
      <c r="B467" s="23" t="s">
        <v>43</v>
      </c>
      <c r="C467" s="25">
        <v>1140000</v>
      </c>
      <c r="D467" s="25">
        <v>1140000</v>
      </c>
      <c r="E467" s="29"/>
      <c r="F467" s="25">
        <v>0</v>
      </c>
      <c r="G467" s="25">
        <v>0</v>
      </c>
      <c r="H467" s="25">
        <v>0</v>
      </c>
      <c r="I467" s="25">
        <v>0</v>
      </c>
      <c r="J467" s="25">
        <v>0</v>
      </c>
      <c r="K467" s="25">
        <v>0</v>
      </c>
      <c r="L467" s="160">
        <v>0</v>
      </c>
      <c r="M467" s="51">
        <f t="shared" si="14"/>
        <v>0</v>
      </c>
      <c r="N467" s="52">
        <f t="shared" si="15"/>
        <v>0</v>
      </c>
    </row>
    <row r="468" spans="1:14">
      <c r="A468" s="149" t="s">
        <v>44</v>
      </c>
      <c r="B468" s="17" t="s">
        <v>45</v>
      </c>
      <c r="C468" s="18">
        <v>1140000</v>
      </c>
      <c r="D468" s="18">
        <v>1140000</v>
      </c>
      <c r="E468" s="28"/>
      <c r="F468" s="18">
        <v>0</v>
      </c>
      <c r="G468" s="18">
        <v>0</v>
      </c>
      <c r="H468" s="18">
        <v>0</v>
      </c>
      <c r="I468" s="18">
        <v>0</v>
      </c>
      <c r="J468" s="18">
        <v>0</v>
      </c>
      <c r="K468" s="18">
        <v>0</v>
      </c>
      <c r="L468" s="157">
        <v>0</v>
      </c>
      <c r="M468" s="51">
        <f t="shared" si="14"/>
        <v>0</v>
      </c>
      <c r="N468" s="52">
        <f t="shared" si="15"/>
        <v>0</v>
      </c>
    </row>
    <row r="469" spans="1:14">
      <c r="A469" s="149" t="s">
        <v>46</v>
      </c>
      <c r="B469" s="17" t="s">
        <v>47</v>
      </c>
      <c r="C469" s="18">
        <v>1140000</v>
      </c>
      <c r="D469" s="18">
        <v>1140000</v>
      </c>
      <c r="E469" s="28"/>
      <c r="F469" s="18">
        <v>0</v>
      </c>
      <c r="G469" s="18">
        <v>0</v>
      </c>
      <c r="H469" s="18">
        <v>0</v>
      </c>
      <c r="I469" s="18">
        <v>0</v>
      </c>
      <c r="J469" s="18">
        <v>0</v>
      </c>
      <c r="K469" s="18">
        <v>0</v>
      </c>
      <c r="L469" s="157">
        <v>0</v>
      </c>
      <c r="M469" s="51">
        <f t="shared" si="14"/>
        <v>0</v>
      </c>
      <c r="N469" s="52">
        <f t="shared" si="15"/>
        <v>0</v>
      </c>
    </row>
    <row r="470" spans="1:14" ht="25.75">
      <c r="A470" s="147" t="s">
        <v>309</v>
      </c>
      <c r="B470" s="9" t="s">
        <v>310</v>
      </c>
      <c r="C470" s="11">
        <v>96685600</v>
      </c>
      <c r="D470" s="11">
        <v>96685600</v>
      </c>
      <c r="E470" s="27"/>
      <c r="F470" s="11">
        <v>7360000</v>
      </c>
      <c r="G470" s="11">
        <v>15725600</v>
      </c>
      <c r="H470" s="11">
        <v>7360000</v>
      </c>
      <c r="I470" s="11">
        <v>7360000</v>
      </c>
      <c r="J470" s="11">
        <v>7360000</v>
      </c>
      <c r="K470" s="11">
        <v>7360000</v>
      </c>
      <c r="L470" s="155">
        <v>7360000</v>
      </c>
      <c r="M470" s="51">
        <f t="shared" si="14"/>
        <v>59885600</v>
      </c>
      <c r="N470" s="52">
        <f t="shared" si="15"/>
        <v>0.61938489288994436</v>
      </c>
    </row>
    <row r="471" spans="1:14" ht="25.75">
      <c r="A471" s="149" t="s">
        <v>311</v>
      </c>
      <c r="B471" s="17" t="s">
        <v>312</v>
      </c>
      <c r="C471" s="18">
        <v>96685600</v>
      </c>
      <c r="D471" s="18">
        <v>96685600</v>
      </c>
      <c r="E471" s="28"/>
      <c r="F471" s="18">
        <v>7360000</v>
      </c>
      <c r="G471" s="18">
        <v>15725600</v>
      </c>
      <c r="H471" s="18">
        <v>7360000</v>
      </c>
      <c r="I471" s="18">
        <v>7360000</v>
      </c>
      <c r="J471" s="18">
        <v>7360000</v>
      </c>
      <c r="K471" s="18">
        <v>7360000</v>
      </c>
      <c r="L471" s="157">
        <v>7360000</v>
      </c>
      <c r="M471" s="51">
        <f t="shared" si="14"/>
        <v>59885600</v>
      </c>
      <c r="N471" s="52">
        <f t="shared" si="15"/>
        <v>0.61938489288994436</v>
      </c>
    </row>
    <row r="472" spans="1:14">
      <c r="A472" s="150" t="s">
        <v>24</v>
      </c>
      <c r="B472" s="19" t="s">
        <v>25</v>
      </c>
      <c r="C472" s="21">
        <v>96685600</v>
      </c>
      <c r="D472" s="21">
        <v>96685600</v>
      </c>
      <c r="E472" s="30"/>
      <c r="F472" s="21">
        <v>7360000</v>
      </c>
      <c r="G472" s="21">
        <v>15725600</v>
      </c>
      <c r="H472" s="21">
        <v>7360000</v>
      </c>
      <c r="I472" s="21">
        <v>7360000</v>
      </c>
      <c r="J472" s="21">
        <v>7360000</v>
      </c>
      <c r="K472" s="21">
        <v>7360000</v>
      </c>
      <c r="L472" s="163">
        <v>7360000</v>
      </c>
      <c r="M472" s="51">
        <f t="shared" si="14"/>
        <v>59885600</v>
      </c>
      <c r="N472" s="52">
        <f t="shared" si="15"/>
        <v>0.61938489288994436</v>
      </c>
    </row>
    <row r="473" spans="1:14">
      <c r="A473" s="151" t="s">
        <v>26</v>
      </c>
      <c r="B473" s="23" t="s">
        <v>27</v>
      </c>
      <c r="C473" s="25">
        <v>3145600</v>
      </c>
      <c r="D473" s="25">
        <v>3145600</v>
      </c>
      <c r="E473" s="29"/>
      <c r="F473" s="25">
        <v>0</v>
      </c>
      <c r="G473" s="25">
        <v>3145600</v>
      </c>
      <c r="H473" s="25">
        <v>0</v>
      </c>
      <c r="I473" s="25">
        <v>0</v>
      </c>
      <c r="J473" s="25">
        <v>0</v>
      </c>
      <c r="K473" s="25">
        <v>0</v>
      </c>
      <c r="L473" s="160">
        <v>0</v>
      </c>
      <c r="M473" s="51">
        <f t="shared" si="14"/>
        <v>3145600</v>
      </c>
      <c r="N473" s="52">
        <f t="shared" si="15"/>
        <v>1</v>
      </c>
    </row>
    <row r="474" spans="1:14">
      <c r="A474" s="149" t="s">
        <v>28</v>
      </c>
      <c r="B474" s="17" t="s">
        <v>29</v>
      </c>
      <c r="C474" s="18">
        <v>3145600</v>
      </c>
      <c r="D474" s="18">
        <v>3145600</v>
      </c>
      <c r="E474" s="28"/>
      <c r="F474" s="18">
        <v>0</v>
      </c>
      <c r="G474" s="18">
        <v>3145600</v>
      </c>
      <c r="H474" s="18">
        <v>0</v>
      </c>
      <c r="I474" s="18">
        <v>0</v>
      </c>
      <c r="J474" s="18">
        <v>0</v>
      </c>
      <c r="K474" s="18">
        <v>0</v>
      </c>
      <c r="L474" s="157">
        <v>0</v>
      </c>
      <c r="M474" s="51">
        <f t="shared" si="14"/>
        <v>3145600</v>
      </c>
      <c r="N474" s="52">
        <f t="shared" si="15"/>
        <v>1</v>
      </c>
    </row>
    <row r="475" spans="1:14">
      <c r="A475" s="149" t="s">
        <v>30</v>
      </c>
      <c r="B475" s="17" t="s">
        <v>31</v>
      </c>
      <c r="C475" s="18">
        <v>1506100</v>
      </c>
      <c r="D475" s="18">
        <v>1506100</v>
      </c>
      <c r="E475" s="28"/>
      <c r="F475" s="18">
        <v>0</v>
      </c>
      <c r="G475" s="18">
        <v>1506100</v>
      </c>
      <c r="H475" s="18">
        <v>0</v>
      </c>
      <c r="I475" s="18">
        <v>0</v>
      </c>
      <c r="J475" s="18">
        <v>0</v>
      </c>
      <c r="K475" s="18">
        <v>0</v>
      </c>
      <c r="L475" s="157">
        <v>0</v>
      </c>
      <c r="M475" s="51">
        <f t="shared" si="14"/>
        <v>1506100</v>
      </c>
      <c r="N475" s="52">
        <f t="shared" si="15"/>
        <v>1</v>
      </c>
    </row>
    <row r="476" spans="1:14">
      <c r="A476" s="149" t="s">
        <v>32</v>
      </c>
      <c r="B476" s="17" t="s">
        <v>33</v>
      </c>
      <c r="C476" s="18">
        <v>689000</v>
      </c>
      <c r="D476" s="18">
        <v>689000</v>
      </c>
      <c r="E476" s="28"/>
      <c r="F476" s="18">
        <v>0</v>
      </c>
      <c r="G476" s="18">
        <v>689000</v>
      </c>
      <c r="H476" s="18">
        <v>0</v>
      </c>
      <c r="I476" s="18">
        <v>0</v>
      </c>
      <c r="J476" s="18">
        <v>0</v>
      </c>
      <c r="K476" s="18">
        <v>0</v>
      </c>
      <c r="L476" s="157">
        <v>0</v>
      </c>
      <c r="M476" s="51">
        <f t="shared" ref="M476:M487" si="16">SUM(F476:L476)</f>
        <v>689000</v>
      </c>
      <c r="N476" s="52">
        <f t="shared" ref="N476:N488" si="17">M476/D476*100%</f>
        <v>1</v>
      </c>
    </row>
    <row r="477" spans="1:14">
      <c r="A477" s="149" t="s">
        <v>237</v>
      </c>
      <c r="B477" s="17" t="s">
        <v>238</v>
      </c>
      <c r="C477" s="18">
        <v>100000</v>
      </c>
      <c r="D477" s="18">
        <v>100000</v>
      </c>
      <c r="E477" s="28"/>
      <c r="F477" s="18">
        <v>0</v>
      </c>
      <c r="G477" s="18">
        <v>100000</v>
      </c>
      <c r="H477" s="18">
        <v>0</v>
      </c>
      <c r="I477" s="18">
        <v>0</v>
      </c>
      <c r="J477" s="18">
        <v>0</v>
      </c>
      <c r="K477" s="18">
        <v>0</v>
      </c>
      <c r="L477" s="157">
        <v>0</v>
      </c>
      <c r="M477" s="51">
        <f t="shared" si="16"/>
        <v>100000</v>
      </c>
      <c r="N477" s="52">
        <f t="shared" si="17"/>
        <v>1</v>
      </c>
    </row>
    <row r="478" spans="1:14">
      <c r="A478" s="149" t="s">
        <v>34</v>
      </c>
      <c r="B478" s="17" t="s">
        <v>35</v>
      </c>
      <c r="C478" s="18">
        <v>850500</v>
      </c>
      <c r="D478" s="18">
        <v>850500</v>
      </c>
      <c r="E478" s="28"/>
      <c r="F478" s="18">
        <v>0</v>
      </c>
      <c r="G478" s="18">
        <v>850500</v>
      </c>
      <c r="H478" s="18">
        <v>0</v>
      </c>
      <c r="I478" s="18">
        <v>0</v>
      </c>
      <c r="J478" s="18">
        <v>0</v>
      </c>
      <c r="K478" s="18">
        <v>0</v>
      </c>
      <c r="L478" s="157">
        <v>0</v>
      </c>
      <c r="M478" s="51">
        <f t="shared" si="16"/>
        <v>850500</v>
      </c>
      <c r="N478" s="52">
        <f t="shared" si="17"/>
        <v>1</v>
      </c>
    </row>
    <row r="479" spans="1:14">
      <c r="A479" s="151" t="s">
        <v>36</v>
      </c>
      <c r="B479" s="23" t="s">
        <v>37</v>
      </c>
      <c r="C479" s="25">
        <v>88320000</v>
      </c>
      <c r="D479" s="25">
        <v>88320000</v>
      </c>
      <c r="E479" s="29"/>
      <c r="F479" s="25">
        <v>7360000</v>
      </c>
      <c r="G479" s="25">
        <v>7360000</v>
      </c>
      <c r="H479" s="25">
        <v>7360000</v>
      </c>
      <c r="I479" s="25">
        <v>7360000</v>
      </c>
      <c r="J479" s="25">
        <v>7360000</v>
      </c>
      <c r="K479" s="25">
        <v>7360000</v>
      </c>
      <c r="L479" s="160">
        <v>7360000</v>
      </c>
      <c r="M479" s="51">
        <f t="shared" si="16"/>
        <v>51520000</v>
      </c>
      <c r="N479" s="52">
        <f t="shared" si="17"/>
        <v>0.58333333333333337</v>
      </c>
    </row>
    <row r="480" spans="1:14">
      <c r="A480" s="149" t="s">
        <v>38</v>
      </c>
      <c r="B480" s="17" t="s">
        <v>39</v>
      </c>
      <c r="C480" s="18">
        <v>88320000</v>
      </c>
      <c r="D480" s="18">
        <v>88320000</v>
      </c>
      <c r="E480" s="28"/>
      <c r="F480" s="18">
        <v>7360000</v>
      </c>
      <c r="G480" s="18">
        <v>7360000</v>
      </c>
      <c r="H480" s="18">
        <v>7360000</v>
      </c>
      <c r="I480" s="18">
        <v>7360000</v>
      </c>
      <c r="J480" s="18">
        <v>7360000</v>
      </c>
      <c r="K480" s="18">
        <v>7360000</v>
      </c>
      <c r="L480" s="157">
        <v>7360000</v>
      </c>
      <c r="M480" s="51">
        <f t="shared" si="16"/>
        <v>51520000</v>
      </c>
      <c r="N480" s="52">
        <f t="shared" si="17"/>
        <v>0.58333333333333337</v>
      </c>
    </row>
    <row r="481" spans="1:14" ht="25.75">
      <c r="A481" s="149" t="s">
        <v>313</v>
      </c>
      <c r="B481" s="17" t="s">
        <v>314</v>
      </c>
      <c r="C481" s="18">
        <v>57000000</v>
      </c>
      <c r="D481" s="18">
        <v>57000000</v>
      </c>
      <c r="E481" s="28"/>
      <c r="F481" s="18">
        <v>4750000</v>
      </c>
      <c r="G481" s="18">
        <v>4750000</v>
      </c>
      <c r="H481" s="18">
        <v>4750000</v>
      </c>
      <c r="I481" s="18">
        <v>4750000</v>
      </c>
      <c r="J481" s="18">
        <v>4750000</v>
      </c>
      <c r="K481" s="18">
        <v>4750000</v>
      </c>
      <c r="L481" s="157">
        <v>4750000</v>
      </c>
      <c r="M481" s="51">
        <f t="shared" si="16"/>
        <v>33250000</v>
      </c>
      <c r="N481" s="52">
        <f t="shared" si="17"/>
        <v>0.58333333333333337</v>
      </c>
    </row>
    <row r="482" spans="1:14">
      <c r="A482" s="149" t="s">
        <v>255</v>
      </c>
      <c r="B482" s="17" t="s">
        <v>256</v>
      </c>
      <c r="C482" s="18">
        <v>14400000</v>
      </c>
      <c r="D482" s="18">
        <v>14400000</v>
      </c>
      <c r="E482" s="28"/>
      <c r="F482" s="18">
        <v>1200000</v>
      </c>
      <c r="G482" s="18">
        <v>1200000</v>
      </c>
      <c r="H482" s="18">
        <v>1200000</v>
      </c>
      <c r="I482" s="18">
        <v>1200000</v>
      </c>
      <c r="J482" s="18">
        <v>1200000</v>
      </c>
      <c r="K482" s="18">
        <v>1200000</v>
      </c>
      <c r="L482" s="157">
        <v>1200000</v>
      </c>
      <c r="M482" s="51">
        <f t="shared" si="16"/>
        <v>8400000</v>
      </c>
      <c r="N482" s="52">
        <f t="shared" si="17"/>
        <v>0.58333333333333337</v>
      </c>
    </row>
    <row r="483" spans="1:14">
      <c r="A483" s="149" t="s">
        <v>112</v>
      </c>
      <c r="B483" s="17" t="s">
        <v>113</v>
      </c>
      <c r="C483" s="18">
        <v>16920000</v>
      </c>
      <c r="D483" s="18">
        <v>16920000</v>
      </c>
      <c r="E483" s="28"/>
      <c r="F483" s="18">
        <v>1410000</v>
      </c>
      <c r="G483" s="18">
        <v>1410000</v>
      </c>
      <c r="H483" s="18">
        <v>1410000</v>
      </c>
      <c r="I483" s="18">
        <v>1410000</v>
      </c>
      <c r="J483" s="18">
        <v>1410000</v>
      </c>
      <c r="K483" s="18">
        <v>1410000</v>
      </c>
      <c r="L483" s="157">
        <v>1410000</v>
      </c>
      <c r="M483" s="51">
        <f t="shared" si="16"/>
        <v>9870000</v>
      </c>
      <c r="N483" s="52">
        <f t="shared" si="17"/>
        <v>0.58333333333333337</v>
      </c>
    </row>
    <row r="484" spans="1:14">
      <c r="A484" s="151" t="s">
        <v>42</v>
      </c>
      <c r="B484" s="23" t="s">
        <v>43</v>
      </c>
      <c r="C484" s="25">
        <v>5220000</v>
      </c>
      <c r="D484" s="25">
        <v>5220000</v>
      </c>
      <c r="E484" s="29"/>
      <c r="F484" s="25">
        <v>0</v>
      </c>
      <c r="G484" s="25">
        <v>5220000</v>
      </c>
      <c r="H484" s="25">
        <v>0</v>
      </c>
      <c r="I484" s="25">
        <v>0</v>
      </c>
      <c r="J484" s="25">
        <v>0</v>
      </c>
      <c r="K484" s="25">
        <v>0</v>
      </c>
      <c r="L484" s="160">
        <v>0</v>
      </c>
      <c r="M484" s="51">
        <f t="shared" si="16"/>
        <v>5220000</v>
      </c>
      <c r="N484" s="52">
        <f t="shared" si="17"/>
        <v>1</v>
      </c>
    </row>
    <row r="485" spans="1:14">
      <c r="A485" s="149" t="s">
        <v>44</v>
      </c>
      <c r="B485" s="17" t="s">
        <v>45</v>
      </c>
      <c r="C485" s="18">
        <v>5220000</v>
      </c>
      <c r="D485" s="18">
        <v>5220000</v>
      </c>
      <c r="E485" s="28"/>
      <c r="F485" s="18">
        <v>0</v>
      </c>
      <c r="G485" s="18">
        <v>5220000</v>
      </c>
      <c r="H485" s="18">
        <v>0</v>
      </c>
      <c r="I485" s="18">
        <v>0</v>
      </c>
      <c r="J485" s="18">
        <v>0</v>
      </c>
      <c r="K485" s="18">
        <v>0</v>
      </c>
      <c r="L485" s="157">
        <v>0</v>
      </c>
      <c r="M485" s="51">
        <f t="shared" si="16"/>
        <v>5220000</v>
      </c>
      <c r="N485" s="52">
        <f t="shared" si="17"/>
        <v>1</v>
      </c>
    </row>
    <row r="486" spans="1:14">
      <c r="A486" s="149" t="s">
        <v>46</v>
      </c>
      <c r="B486" s="17" t="s">
        <v>47</v>
      </c>
      <c r="C486" s="18">
        <v>1140000</v>
      </c>
      <c r="D486" s="18">
        <v>1140000</v>
      </c>
      <c r="E486" s="28"/>
      <c r="F486" s="18">
        <v>0</v>
      </c>
      <c r="G486" s="18">
        <v>1140000</v>
      </c>
      <c r="H486" s="18">
        <v>0</v>
      </c>
      <c r="I486" s="18">
        <v>0</v>
      </c>
      <c r="J486" s="18">
        <v>0</v>
      </c>
      <c r="K486" s="18">
        <v>0</v>
      </c>
      <c r="L486" s="157">
        <v>0</v>
      </c>
      <c r="M486" s="51">
        <f t="shared" si="16"/>
        <v>1140000</v>
      </c>
      <c r="N486" s="52">
        <f t="shared" si="17"/>
        <v>1</v>
      </c>
    </row>
    <row r="487" spans="1:14">
      <c r="A487" s="149" t="s">
        <v>141</v>
      </c>
      <c r="B487" s="17" t="s">
        <v>142</v>
      </c>
      <c r="C487" s="18">
        <v>4080000</v>
      </c>
      <c r="D487" s="18">
        <v>4080000</v>
      </c>
      <c r="E487" s="28"/>
      <c r="F487" s="18">
        <v>0</v>
      </c>
      <c r="G487" s="18">
        <v>4080000</v>
      </c>
      <c r="H487" s="18">
        <v>0</v>
      </c>
      <c r="I487" s="18">
        <v>0</v>
      </c>
      <c r="J487" s="18">
        <v>0</v>
      </c>
      <c r="K487" s="18">
        <v>0</v>
      </c>
      <c r="L487" s="157">
        <v>0</v>
      </c>
      <c r="M487" s="51">
        <f t="shared" si="16"/>
        <v>4080000</v>
      </c>
      <c r="N487" s="52">
        <f t="shared" si="17"/>
        <v>1</v>
      </c>
    </row>
    <row r="488" spans="1:14">
      <c r="A488" s="171" t="s">
        <v>315</v>
      </c>
      <c r="B488" s="172" t="s">
        <v>0</v>
      </c>
      <c r="C488" s="173">
        <v>10810941900</v>
      </c>
      <c r="D488" s="174">
        <v>10810941900</v>
      </c>
      <c r="E488" s="174"/>
      <c r="F488" s="174">
        <v>940984719</v>
      </c>
      <c r="G488" s="174">
        <v>1532480122</v>
      </c>
      <c r="H488" s="174">
        <v>1342084725</v>
      </c>
      <c r="I488" s="174">
        <v>958435735</v>
      </c>
      <c r="J488" s="174">
        <v>838512411</v>
      </c>
      <c r="K488" s="174">
        <v>1441253886</v>
      </c>
      <c r="L488" s="175">
        <v>771173861</v>
      </c>
      <c r="M488" s="51">
        <f>SUM(F488:L488)</f>
        <v>7824925459</v>
      </c>
      <c r="N488" s="52">
        <f t="shared" si="17"/>
        <v>0.72379682837810833</v>
      </c>
    </row>
  </sheetData>
  <mergeCells count="1">
    <mergeCell ref="A1:L1"/>
  </mergeCells>
  <phoneticPr fontId="35" type="noConversion"/>
  <pageMargins left="0.7" right="0.7" top="0.75" bottom="0.75" header="0.3" footer="0.3"/>
  <pageSetup paperSize="9" orientation="portrait" horizontalDpi="0" verticalDpi="0" r:id="rId1"/>
  <ignoredErrors>
    <ignoredError sqref="F2:L2 A2:D2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9FF2-BAD3-45CA-A439-BF758BEF0FC6}">
  <dimension ref="A1:F73"/>
  <sheetViews>
    <sheetView view="pageBreakPreview" topLeftCell="A14" zoomScale="57" zoomScaleNormal="100" workbookViewId="0">
      <selection activeCell="E32" sqref="E32"/>
    </sheetView>
  </sheetViews>
  <sheetFormatPr defaultRowHeight="14.6"/>
  <cols>
    <col min="1" max="1" width="18.765625" bestFit="1" customWidth="1"/>
    <col min="2" max="2" width="78.07421875" bestFit="1" customWidth="1"/>
    <col min="3" max="3" width="20.69140625" customWidth="1"/>
    <col min="4" max="4" width="21.765625" customWidth="1"/>
    <col min="5" max="5" width="21.765625" style="53" customWidth="1"/>
    <col min="6" max="6" width="37.84375" style="54" customWidth="1"/>
  </cols>
  <sheetData>
    <row r="1" spans="1:6" ht="23.15">
      <c r="A1" s="132"/>
      <c r="B1" s="132" t="s">
        <v>322</v>
      </c>
      <c r="C1" s="132" t="s">
        <v>323</v>
      </c>
      <c r="D1" s="132" t="s">
        <v>324</v>
      </c>
      <c r="E1" s="133" t="s">
        <v>325</v>
      </c>
      <c r="F1" s="134" t="s">
        <v>326</v>
      </c>
    </row>
    <row r="2" spans="1:6" ht="23.15">
      <c r="A2" s="128"/>
      <c r="B2" s="128" t="s">
        <v>23</v>
      </c>
      <c r="C2" s="129">
        <v>12226200</v>
      </c>
      <c r="D2" s="129">
        <v>6071739</v>
      </c>
      <c r="E2" s="130">
        <f t="shared" ref="E2:E65" si="0">D2/C2*100%</f>
        <v>0.49661701918830053</v>
      </c>
      <c r="F2" s="131">
        <v>0.90675761888403594</v>
      </c>
    </row>
    <row r="3" spans="1:6" ht="23.15">
      <c r="A3" s="72" t="s">
        <v>24</v>
      </c>
      <c r="B3" s="72" t="s">
        <v>25</v>
      </c>
      <c r="C3" s="73">
        <v>12226200</v>
      </c>
      <c r="D3" s="73">
        <v>6071739</v>
      </c>
      <c r="E3" s="74">
        <f t="shared" si="0"/>
        <v>0.49661701918830053</v>
      </c>
      <c r="F3" s="75">
        <v>0.90675761888403594</v>
      </c>
    </row>
    <row r="4" spans="1:6" ht="23.15">
      <c r="A4" s="72" t="s">
        <v>26</v>
      </c>
      <c r="B4" s="72" t="s">
        <v>27</v>
      </c>
      <c r="C4" s="73">
        <v>1763200</v>
      </c>
      <c r="D4" s="73">
        <v>1742739</v>
      </c>
      <c r="E4" s="74">
        <f t="shared" si="0"/>
        <v>0.98839553085299459</v>
      </c>
      <c r="F4" s="75">
        <v>1</v>
      </c>
    </row>
    <row r="5" spans="1:6" ht="23.15">
      <c r="A5" s="72" t="s">
        <v>28</v>
      </c>
      <c r="B5" s="72" t="s">
        <v>29</v>
      </c>
      <c r="C5" s="73">
        <v>1763200</v>
      </c>
      <c r="D5" s="73">
        <v>1742739</v>
      </c>
      <c r="E5" s="74">
        <f t="shared" si="0"/>
        <v>0.98839553085299459</v>
      </c>
      <c r="F5" s="75">
        <v>1</v>
      </c>
    </row>
    <row r="6" spans="1:6" ht="23.15">
      <c r="A6" s="72" t="s">
        <v>30</v>
      </c>
      <c r="B6" s="72" t="s">
        <v>31</v>
      </c>
      <c r="C6" s="73">
        <v>1275800</v>
      </c>
      <c r="D6" s="73">
        <v>1265439</v>
      </c>
      <c r="E6" s="74">
        <f t="shared" si="0"/>
        <v>0.99187882113183889</v>
      </c>
      <c r="F6" s="75">
        <v>1</v>
      </c>
    </row>
    <row r="7" spans="1:6" ht="23.15">
      <c r="A7" s="72" t="s">
        <v>32</v>
      </c>
      <c r="B7" s="72" t="s">
        <v>33</v>
      </c>
      <c r="C7" s="73">
        <v>162000</v>
      </c>
      <c r="D7" s="73">
        <v>160950</v>
      </c>
      <c r="E7" s="74">
        <f t="shared" si="0"/>
        <v>0.99351851851851847</v>
      </c>
      <c r="F7" s="75">
        <v>1</v>
      </c>
    </row>
    <row r="8" spans="1:6" ht="23.15">
      <c r="A8" s="72" t="s">
        <v>34</v>
      </c>
      <c r="B8" s="72" t="s">
        <v>35</v>
      </c>
      <c r="C8" s="73">
        <v>325400</v>
      </c>
      <c r="D8" s="73">
        <v>316350</v>
      </c>
      <c r="E8" s="74">
        <f t="shared" si="0"/>
        <v>0.97218807621389058</v>
      </c>
      <c r="F8" s="75">
        <v>1</v>
      </c>
    </row>
    <row r="9" spans="1:6" ht="23.15">
      <c r="A9" s="72" t="s">
        <v>36</v>
      </c>
      <c r="B9" s="72" t="s">
        <v>37</v>
      </c>
      <c r="C9" s="73">
        <v>2063000</v>
      </c>
      <c r="D9" s="73">
        <v>2049000</v>
      </c>
      <c r="E9" s="74">
        <f t="shared" si="0"/>
        <v>0.9932137663596704</v>
      </c>
      <c r="F9" s="75">
        <v>1</v>
      </c>
    </row>
    <row r="10" spans="1:6" ht="23.15">
      <c r="A10" s="72" t="s">
        <v>38</v>
      </c>
      <c r="B10" s="72" t="s">
        <v>39</v>
      </c>
      <c r="C10" s="73">
        <v>2063000</v>
      </c>
      <c r="D10" s="73">
        <v>2049000</v>
      </c>
      <c r="E10" s="74">
        <f t="shared" si="0"/>
        <v>0.9932137663596704</v>
      </c>
      <c r="F10" s="75">
        <v>1</v>
      </c>
    </row>
    <row r="11" spans="1:6" ht="23.15">
      <c r="A11" s="72" t="s">
        <v>40</v>
      </c>
      <c r="B11" s="72" t="s">
        <v>41</v>
      </c>
      <c r="C11" s="73">
        <v>2063000</v>
      </c>
      <c r="D11" s="73">
        <v>2049000</v>
      </c>
      <c r="E11" s="74">
        <f t="shared" si="0"/>
        <v>0.9932137663596704</v>
      </c>
      <c r="F11" s="75">
        <v>1</v>
      </c>
    </row>
    <row r="12" spans="1:6" ht="23.15">
      <c r="A12" s="72" t="s">
        <v>42</v>
      </c>
      <c r="B12" s="72" t="s">
        <v>43</v>
      </c>
      <c r="C12" s="73">
        <v>8400000</v>
      </c>
      <c r="D12" s="73">
        <v>2280000</v>
      </c>
      <c r="E12" s="74">
        <f t="shared" si="0"/>
        <v>0.27142857142857141</v>
      </c>
      <c r="F12" s="75">
        <v>0.86428571428571432</v>
      </c>
    </row>
    <row r="13" spans="1:6" ht="23.15">
      <c r="A13" s="72" t="s">
        <v>44</v>
      </c>
      <c r="B13" s="72" t="s">
        <v>45</v>
      </c>
      <c r="C13" s="73">
        <v>8400000</v>
      </c>
      <c r="D13" s="73">
        <v>2280000</v>
      </c>
      <c r="E13" s="74">
        <f t="shared" si="0"/>
        <v>0.27142857142857141</v>
      </c>
      <c r="F13" s="75">
        <v>0.86428571428571432</v>
      </c>
    </row>
    <row r="14" spans="1:6" ht="23.15">
      <c r="A14" s="72" t="s">
        <v>46</v>
      </c>
      <c r="B14" s="72" t="s">
        <v>47</v>
      </c>
      <c r="C14" s="73">
        <v>8400000</v>
      </c>
      <c r="D14" s="73">
        <v>2280000</v>
      </c>
      <c r="E14" s="74">
        <f t="shared" si="0"/>
        <v>0.27142857142857141</v>
      </c>
      <c r="F14" s="75">
        <v>0.86428571428571432</v>
      </c>
    </row>
    <row r="15" spans="1:6" ht="23.15">
      <c r="A15" s="72"/>
      <c r="B15" s="72" t="s">
        <v>49</v>
      </c>
      <c r="C15" s="73">
        <v>3686800</v>
      </c>
      <c r="D15" s="73">
        <v>2108832</v>
      </c>
      <c r="E15" s="74">
        <f t="shared" si="0"/>
        <v>0.57199522621243359</v>
      </c>
      <c r="F15" s="75">
        <v>1</v>
      </c>
    </row>
    <row r="16" spans="1:6" ht="23.15">
      <c r="A16" s="72" t="s">
        <v>24</v>
      </c>
      <c r="B16" s="72" t="s">
        <v>25</v>
      </c>
      <c r="C16" s="73">
        <v>3686800</v>
      </c>
      <c r="D16" s="73">
        <v>2108832</v>
      </c>
      <c r="E16" s="74">
        <f t="shared" si="0"/>
        <v>0.57199522621243359</v>
      </c>
      <c r="F16" s="75">
        <v>1</v>
      </c>
    </row>
    <row r="17" spans="1:6" ht="23.15">
      <c r="A17" s="72" t="s">
        <v>26</v>
      </c>
      <c r="B17" s="72" t="s">
        <v>27</v>
      </c>
      <c r="C17" s="73">
        <v>866800</v>
      </c>
      <c r="D17" s="73">
        <v>833832</v>
      </c>
      <c r="E17" s="74">
        <f t="shared" si="0"/>
        <v>0.96196585140747581</v>
      </c>
      <c r="F17" s="75">
        <v>1</v>
      </c>
    </row>
    <row r="18" spans="1:6" ht="23.15">
      <c r="A18" s="72" t="s">
        <v>28</v>
      </c>
      <c r="B18" s="72" t="s">
        <v>29</v>
      </c>
      <c r="C18" s="73">
        <v>866800</v>
      </c>
      <c r="D18" s="73">
        <v>833832</v>
      </c>
      <c r="E18" s="74">
        <f t="shared" si="0"/>
        <v>0.96196585140747581</v>
      </c>
      <c r="F18" s="75">
        <v>1</v>
      </c>
    </row>
    <row r="19" spans="1:6" ht="23.15">
      <c r="A19" s="72" t="s">
        <v>30</v>
      </c>
      <c r="B19" s="72" t="s">
        <v>31</v>
      </c>
      <c r="C19" s="73">
        <v>434200</v>
      </c>
      <c r="D19" s="73">
        <v>412032</v>
      </c>
      <c r="E19" s="74">
        <f t="shared" si="0"/>
        <v>0.94894518654997695</v>
      </c>
      <c r="F19" s="75">
        <v>1</v>
      </c>
    </row>
    <row r="20" spans="1:6" ht="23.15">
      <c r="A20" s="72" t="s">
        <v>32</v>
      </c>
      <c r="B20" s="72" t="s">
        <v>33</v>
      </c>
      <c r="C20" s="73">
        <v>155200</v>
      </c>
      <c r="D20" s="73">
        <v>152070</v>
      </c>
      <c r="E20" s="74">
        <f t="shared" si="0"/>
        <v>0.97983247422680408</v>
      </c>
      <c r="F20" s="75">
        <v>1</v>
      </c>
    </row>
    <row r="21" spans="1:6" ht="23.15">
      <c r="A21" s="72" t="s">
        <v>34</v>
      </c>
      <c r="B21" s="72" t="s">
        <v>35</v>
      </c>
      <c r="C21" s="73">
        <v>277400</v>
      </c>
      <c r="D21" s="73">
        <v>269730</v>
      </c>
      <c r="E21" s="74">
        <f t="shared" si="0"/>
        <v>0.97235039653929345</v>
      </c>
      <c r="F21" s="75">
        <v>1</v>
      </c>
    </row>
    <row r="22" spans="1:6" ht="23.15">
      <c r="A22" s="72" t="s">
        <v>36</v>
      </c>
      <c r="B22" s="72" t="s">
        <v>37</v>
      </c>
      <c r="C22" s="73">
        <v>1300000</v>
      </c>
      <c r="D22" s="73">
        <v>1275000</v>
      </c>
      <c r="E22" s="74">
        <f t="shared" si="0"/>
        <v>0.98076923076923073</v>
      </c>
      <c r="F22" s="75">
        <v>1</v>
      </c>
    </row>
    <row r="23" spans="1:6" ht="23.15">
      <c r="A23" s="72" t="s">
        <v>38</v>
      </c>
      <c r="B23" s="72" t="s">
        <v>39</v>
      </c>
      <c r="C23" s="73">
        <v>1300000</v>
      </c>
      <c r="D23" s="73">
        <v>1275000</v>
      </c>
      <c r="E23" s="74">
        <f t="shared" si="0"/>
        <v>0.98076923076923073</v>
      </c>
      <c r="F23" s="75">
        <v>1</v>
      </c>
    </row>
    <row r="24" spans="1:6" ht="23.15">
      <c r="A24" s="72" t="s">
        <v>40</v>
      </c>
      <c r="B24" s="72" t="s">
        <v>41</v>
      </c>
      <c r="C24" s="73">
        <v>1300000</v>
      </c>
      <c r="D24" s="73">
        <v>1275000</v>
      </c>
      <c r="E24" s="74">
        <f t="shared" si="0"/>
        <v>0.98076923076923073</v>
      </c>
      <c r="F24" s="75">
        <v>1</v>
      </c>
    </row>
    <row r="25" spans="1:6" ht="23.15">
      <c r="A25" s="72" t="s">
        <v>42</v>
      </c>
      <c r="B25" s="72" t="s">
        <v>43</v>
      </c>
      <c r="C25" s="73">
        <v>1520000</v>
      </c>
      <c r="D25" s="73" t="s">
        <v>318</v>
      </c>
      <c r="E25" s="74">
        <f t="shared" si="0"/>
        <v>0</v>
      </c>
      <c r="F25" s="75">
        <v>1</v>
      </c>
    </row>
    <row r="26" spans="1:6" ht="23.15">
      <c r="A26" s="72" t="s">
        <v>44</v>
      </c>
      <c r="B26" s="72" t="s">
        <v>45</v>
      </c>
      <c r="C26" s="73">
        <v>1520000</v>
      </c>
      <c r="D26" s="73" t="s">
        <v>318</v>
      </c>
      <c r="E26" s="74">
        <f t="shared" si="0"/>
        <v>0</v>
      </c>
      <c r="F26" s="75">
        <v>1</v>
      </c>
    </row>
    <row r="27" spans="1:6" ht="23.15">
      <c r="A27" s="72" t="s">
        <v>46</v>
      </c>
      <c r="B27" s="72" t="s">
        <v>47</v>
      </c>
      <c r="C27" s="73">
        <v>1520000</v>
      </c>
      <c r="D27" s="73" t="s">
        <v>318</v>
      </c>
      <c r="E27" s="74">
        <f t="shared" si="0"/>
        <v>0</v>
      </c>
      <c r="F27" s="75">
        <v>1</v>
      </c>
    </row>
    <row r="28" spans="1:6" ht="23.15">
      <c r="A28" s="72"/>
      <c r="B28" s="72" t="s">
        <v>51</v>
      </c>
      <c r="C28" s="73">
        <v>1795800</v>
      </c>
      <c r="D28" s="73" t="s">
        <v>318</v>
      </c>
      <c r="E28" s="74">
        <f t="shared" si="0"/>
        <v>0</v>
      </c>
      <c r="F28" s="75">
        <v>1</v>
      </c>
    </row>
    <row r="29" spans="1:6" ht="23.15">
      <c r="A29" s="72" t="s">
        <v>24</v>
      </c>
      <c r="B29" s="72" t="s">
        <v>25</v>
      </c>
      <c r="C29" s="73">
        <v>1795800</v>
      </c>
      <c r="D29" s="73" t="s">
        <v>318</v>
      </c>
      <c r="E29" s="74">
        <f t="shared" si="0"/>
        <v>0</v>
      </c>
      <c r="F29" s="75">
        <v>1</v>
      </c>
    </row>
    <row r="30" spans="1:6" ht="23.15">
      <c r="A30" s="72" t="s">
        <v>26</v>
      </c>
      <c r="B30" s="72" t="s">
        <v>27</v>
      </c>
      <c r="C30" s="73">
        <v>923800</v>
      </c>
      <c r="D30" s="73" t="s">
        <v>318</v>
      </c>
      <c r="E30" s="74">
        <f t="shared" si="0"/>
        <v>0</v>
      </c>
      <c r="F30" s="75">
        <v>1</v>
      </c>
    </row>
    <row r="31" spans="1:6" ht="23.15">
      <c r="A31" s="72" t="s">
        <v>28</v>
      </c>
      <c r="B31" s="72" t="s">
        <v>29</v>
      </c>
      <c r="C31" s="73">
        <v>923800</v>
      </c>
      <c r="D31" s="73" t="s">
        <v>318</v>
      </c>
      <c r="E31" s="74">
        <f t="shared" si="0"/>
        <v>0</v>
      </c>
      <c r="F31" s="75">
        <v>1</v>
      </c>
    </row>
    <row r="32" spans="1:6" ht="23.15">
      <c r="A32" s="72" t="s">
        <v>30</v>
      </c>
      <c r="B32" s="72" t="s">
        <v>31</v>
      </c>
      <c r="C32" s="73">
        <v>566400</v>
      </c>
      <c r="D32" s="73" t="s">
        <v>318</v>
      </c>
      <c r="E32" s="74">
        <f t="shared" si="0"/>
        <v>0</v>
      </c>
      <c r="F32" s="75">
        <v>1</v>
      </c>
    </row>
    <row r="33" spans="1:6" ht="23.15">
      <c r="A33" s="72" t="s">
        <v>32</v>
      </c>
      <c r="B33" s="72" t="s">
        <v>33</v>
      </c>
      <c r="C33" s="73">
        <v>137800</v>
      </c>
      <c r="D33" s="73" t="s">
        <v>318</v>
      </c>
      <c r="E33" s="74">
        <f t="shared" si="0"/>
        <v>0</v>
      </c>
      <c r="F33" s="75">
        <v>1</v>
      </c>
    </row>
    <row r="34" spans="1:6" ht="23.15">
      <c r="A34" s="72" t="s">
        <v>34</v>
      </c>
      <c r="B34" s="72" t="s">
        <v>35</v>
      </c>
      <c r="C34" s="73">
        <v>219600</v>
      </c>
      <c r="D34" s="73" t="s">
        <v>318</v>
      </c>
      <c r="E34" s="74">
        <f t="shared" si="0"/>
        <v>0</v>
      </c>
      <c r="F34" s="75">
        <v>1</v>
      </c>
    </row>
    <row r="35" spans="1:6" ht="23.15">
      <c r="A35" s="72" t="s">
        <v>36</v>
      </c>
      <c r="B35" s="72" t="s">
        <v>37</v>
      </c>
      <c r="C35" s="73">
        <v>872000</v>
      </c>
      <c r="D35" s="73" t="s">
        <v>318</v>
      </c>
      <c r="E35" s="74">
        <f t="shared" si="0"/>
        <v>0</v>
      </c>
      <c r="F35" s="75">
        <v>1</v>
      </c>
    </row>
    <row r="36" spans="1:6" ht="23.15">
      <c r="A36" s="72" t="s">
        <v>38</v>
      </c>
      <c r="B36" s="72" t="s">
        <v>39</v>
      </c>
      <c r="C36" s="73">
        <v>872000</v>
      </c>
      <c r="D36" s="73" t="s">
        <v>318</v>
      </c>
      <c r="E36" s="74">
        <f t="shared" si="0"/>
        <v>0</v>
      </c>
      <c r="F36" s="75">
        <v>1</v>
      </c>
    </row>
    <row r="37" spans="1:6" ht="23.15">
      <c r="A37" s="72" t="s">
        <v>40</v>
      </c>
      <c r="B37" s="72" t="s">
        <v>41</v>
      </c>
      <c r="C37" s="73">
        <v>872000</v>
      </c>
      <c r="D37" s="73" t="s">
        <v>318</v>
      </c>
      <c r="E37" s="74">
        <f t="shared" si="0"/>
        <v>0</v>
      </c>
      <c r="F37" s="75">
        <v>1</v>
      </c>
    </row>
    <row r="38" spans="1:6" ht="23.15">
      <c r="A38" s="72"/>
      <c r="B38" s="72" t="s">
        <v>53</v>
      </c>
      <c r="C38" s="73">
        <v>2999600</v>
      </c>
      <c r="D38" s="73">
        <v>2587597</v>
      </c>
      <c r="E38" s="74">
        <f t="shared" si="0"/>
        <v>0.86264735298039741</v>
      </c>
      <c r="F38" s="75">
        <v>1</v>
      </c>
    </row>
    <row r="39" spans="1:6" ht="23.15">
      <c r="A39" s="72" t="s">
        <v>24</v>
      </c>
      <c r="B39" s="72" t="s">
        <v>25</v>
      </c>
      <c r="C39" s="73">
        <v>2999600</v>
      </c>
      <c r="D39" s="73">
        <v>2587597</v>
      </c>
      <c r="E39" s="74">
        <f t="shared" si="0"/>
        <v>0.86264735298039741</v>
      </c>
      <c r="F39" s="75">
        <v>1</v>
      </c>
    </row>
    <row r="40" spans="1:6" ht="23.15">
      <c r="A40" s="72" t="s">
        <v>26</v>
      </c>
      <c r="B40" s="72" t="s">
        <v>27</v>
      </c>
      <c r="C40" s="73">
        <v>1221600</v>
      </c>
      <c r="D40" s="73">
        <v>1132597</v>
      </c>
      <c r="E40" s="74">
        <f t="shared" si="0"/>
        <v>0.92714227242960057</v>
      </c>
      <c r="F40" s="75">
        <v>1</v>
      </c>
    </row>
    <row r="41" spans="1:6" ht="23.15">
      <c r="A41" s="72" t="s">
        <v>28</v>
      </c>
      <c r="B41" s="72" t="s">
        <v>29</v>
      </c>
      <c r="C41" s="73">
        <v>1221600</v>
      </c>
      <c r="D41" s="73">
        <v>1132597</v>
      </c>
      <c r="E41" s="74">
        <f t="shared" si="0"/>
        <v>0.92714227242960057</v>
      </c>
      <c r="F41" s="75">
        <v>1</v>
      </c>
    </row>
    <row r="42" spans="1:6" ht="23.15">
      <c r="A42" s="72" t="s">
        <v>30</v>
      </c>
      <c r="B42" s="72" t="s">
        <v>31</v>
      </c>
      <c r="C42" s="73">
        <v>694400</v>
      </c>
      <c r="D42" s="73">
        <v>625327</v>
      </c>
      <c r="E42" s="74">
        <f t="shared" si="0"/>
        <v>0.90052851382488475</v>
      </c>
      <c r="F42" s="75">
        <v>1</v>
      </c>
    </row>
    <row r="43" spans="1:6" ht="23.15">
      <c r="A43" s="72" t="s">
        <v>32</v>
      </c>
      <c r="B43" s="72" t="s">
        <v>33</v>
      </c>
      <c r="C43" s="73">
        <v>249800</v>
      </c>
      <c r="D43" s="73">
        <v>234210</v>
      </c>
      <c r="E43" s="74">
        <f t="shared" si="0"/>
        <v>0.93759007205764611</v>
      </c>
      <c r="F43" s="75">
        <v>1</v>
      </c>
    </row>
    <row r="44" spans="1:6" ht="23.15">
      <c r="A44" s="72" t="s">
        <v>34</v>
      </c>
      <c r="B44" s="72" t="s">
        <v>35</v>
      </c>
      <c r="C44" s="73">
        <v>277400</v>
      </c>
      <c r="D44" s="73">
        <v>273060</v>
      </c>
      <c r="E44" s="74">
        <f t="shared" si="0"/>
        <v>0.98435472242249455</v>
      </c>
      <c r="F44" s="75">
        <v>1</v>
      </c>
    </row>
    <row r="45" spans="1:6" ht="23.15">
      <c r="A45" s="72" t="s">
        <v>36</v>
      </c>
      <c r="B45" s="72" t="s">
        <v>37</v>
      </c>
      <c r="C45" s="73">
        <v>1778000</v>
      </c>
      <c r="D45" s="73">
        <v>1455000</v>
      </c>
      <c r="E45" s="74">
        <f t="shared" si="0"/>
        <v>0.81833520809898763</v>
      </c>
      <c r="F45" s="75">
        <v>1</v>
      </c>
    </row>
    <row r="46" spans="1:6" ht="23.15">
      <c r="A46" s="72" t="s">
        <v>38</v>
      </c>
      <c r="B46" s="72" t="s">
        <v>39</v>
      </c>
      <c r="C46" s="73">
        <v>1778000</v>
      </c>
      <c r="D46" s="73">
        <v>1455000</v>
      </c>
      <c r="E46" s="74">
        <f t="shared" si="0"/>
        <v>0.81833520809898763</v>
      </c>
      <c r="F46" s="75">
        <v>1</v>
      </c>
    </row>
    <row r="47" spans="1:6" ht="23.15">
      <c r="A47" s="72" t="s">
        <v>40</v>
      </c>
      <c r="B47" s="72" t="s">
        <v>41</v>
      </c>
      <c r="C47" s="73">
        <v>1778000</v>
      </c>
      <c r="D47" s="73">
        <v>1455000</v>
      </c>
      <c r="E47" s="74">
        <f t="shared" si="0"/>
        <v>0.81833520809898763</v>
      </c>
      <c r="F47" s="75">
        <v>1</v>
      </c>
    </row>
    <row r="48" spans="1:6" ht="23.15">
      <c r="A48" s="72"/>
      <c r="B48" s="72" t="s">
        <v>55</v>
      </c>
      <c r="C48" s="73">
        <v>2359200</v>
      </c>
      <c r="D48" s="73" t="s">
        <v>318</v>
      </c>
      <c r="E48" s="74">
        <f t="shared" si="0"/>
        <v>0</v>
      </c>
      <c r="F48" s="75">
        <v>2.2889114954221771E-5</v>
      </c>
    </row>
    <row r="49" spans="1:6" ht="23.15">
      <c r="A49" s="72" t="s">
        <v>24</v>
      </c>
      <c r="B49" s="72" t="s">
        <v>25</v>
      </c>
      <c r="C49" s="73">
        <v>2359200</v>
      </c>
      <c r="D49" s="73" t="s">
        <v>318</v>
      </c>
      <c r="E49" s="74">
        <f t="shared" si="0"/>
        <v>0</v>
      </c>
      <c r="F49" s="75">
        <v>2.2889114954221771E-5</v>
      </c>
    </row>
    <row r="50" spans="1:6" ht="23.15">
      <c r="A50" s="72" t="s">
        <v>26</v>
      </c>
      <c r="B50" s="72" t="s">
        <v>27</v>
      </c>
      <c r="C50" s="73">
        <v>1237200</v>
      </c>
      <c r="D50" s="73" t="s">
        <v>318</v>
      </c>
      <c r="E50" s="74">
        <f t="shared" si="0"/>
        <v>0</v>
      </c>
      <c r="F50" s="75">
        <v>4.3646944713870028E-5</v>
      </c>
    </row>
    <row r="51" spans="1:6" ht="23.15">
      <c r="A51" s="72" t="s">
        <v>28</v>
      </c>
      <c r="B51" s="72" t="s">
        <v>29</v>
      </c>
      <c r="C51" s="73">
        <v>1237200</v>
      </c>
      <c r="D51" s="73" t="s">
        <v>318</v>
      </c>
      <c r="E51" s="74">
        <f t="shared" si="0"/>
        <v>0</v>
      </c>
      <c r="F51" s="75">
        <v>4.3646944713870028E-5</v>
      </c>
    </row>
    <row r="52" spans="1:6" ht="23.15">
      <c r="A52" s="72" t="s">
        <v>30</v>
      </c>
      <c r="B52" s="72" t="s">
        <v>31</v>
      </c>
      <c r="C52" s="73">
        <v>774600</v>
      </c>
      <c r="D52" s="73" t="s">
        <v>318</v>
      </c>
      <c r="E52" s="74">
        <f t="shared" si="0"/>
        <v>0</v>
      </c>
      <c r="F52" s="75">
        <v>6.9713400464756003E-5</v>
      </c>
    </row>
    <row r="53" spans="1:6" ht="23.15">
      <c r="A53" s="72" t="s">
        <v>32</v>
      </c>
      <c r="B53" s="72" t="s">
        <v>33</v>
      </c>
      <c r="C53" s="73">
        <v>137800</v>
      </c>
      <c r="D53" s="73" t="s">
        <v>318</v>
      </c>
      <c r="E53" s="74">
        <f t="shared" si="0"/>
        <v>0</v>
      </c>
      <c r="F53" s="75">
        <v>0</v>
      </c>
    </row>
    <row r="54" spans="1:6" ht="23.15">
      <c r="A54" s="72" t="s">
        <v>34</v>
      </c>
      <c r="B54" s="72" t="s">
        <v>35</v>
      </c>
      <c r="C54" s="73">
        <v>324800</v>
      </c>
      <c r="D54" s="73" t="s">
        <v>318</v>
      </c>
      <c r="E54" s="74">
        <f t="shared" si="0"/>
        <v>0</v>
      </c>
      <c r="F54" s="75">
        <v>0</v>
      </c>
    </row>
    <row r="55" spans="1:6" ht="23.15">
      <c r="A55" s="72" t="s">
        <v>36</v>
      </c>
      <c r="B55" s="72" t="s">
        <v>37</v>
      </c>
      <c r="C55" s="73">
        <v>1122000</v>
      </c>
      <c r="D55" s="73" t="s">
        <v>318</v>
      </c>
      <c r="E55" s="74">
        <f t="shared" si="0"/>
        <v>0</v>
      </c>
      <c r="F55" s="75">
        <v>0</v>
      </c>
    </row>
    <row r="56" spans="1:6" ht="23.15">
      <c r="A56" s="72" t="s">
        <v>38</v>
      </c>
      <c r="B56" s="72" t="s">
        <v>39</v>
      </c>
      <c r="C56" s="73">
        <v>1122000</v>
      </c>
      <c r="D56" s="73" t="s">
        <v>318</v>
      </c>
      <c r="E56" s="74">
        <f t="shared" si="0"/>
        <v>0</v>
      </c>
      <c r="F56" s="75">
        <v>0</v>
      </c>
    </row>
    <row r="57" spans="1:6" ht="23.15">
      <c r="A57" s="72" t="s">
        <v>40</v>
      </c>
      <c r="B57" s="72" t="s">
        <v>41</v>
      </c>
      <c r="C57" s="73">
        <v>1122000</v>
      </c>
      <c r="D57" s="73" t="s">
        <v>318</v>
      </c>
      <c r="E57" s="74">
        <f t="shared" si="0"/>
        <v>0</v>
      </c>
      <c r="F57" s="75">
        <v>0</v>
      </c>
    </row>
    <row r="58" spans="1:6" ht="23.15">
      <c r="A58" s="72"/>
      <c r="B58" s="72" t="s">
        <v>57</v>
      </c>
      <c r="C58" s="73">
        <v>3978600</v>
      </c>
      <c r="D58" s="73">
        <v>2710040</v>
      </c>
      <c r="E58" s="74">
        <f t="shared" si="0"/>
        <v>0.68115417483536922</v>
      </c>
      <c r="F58" s="75">
        <v>1</v>
      </c>
    </row>
    <row r="59" spans="1:6" ht="23.15">
      <c r="A59" s="72" t="s">
        <v>24</v>
      </c>
      <c r="B59" s="72" t="s">
        <v>25</v>
      </c>
      <c r="C59" s="73">
        <v>3978600</v>
      </c>
      <c r="D59" s="73">
        <v>2710040</v>
      </c>
      <c r="E59" s="74">
        <f t="shared" si="0"/>
        <v>0.68115417483536922</v>
      </c>
      <c r="F59" s="75">
        <v>1</v>
      </c>
    </row>
    <row r="60" spans="1:6" ht="23.15">
      <c r="A60" s="72" t="s">
        <v>26</v>
      </c>
      <c r="B60" s="72" t="s">
        <v>27</v>
      </c>
      <c r="C60" s="73">
        <v>1735600</v>
      </c>
      <c r="D60" s="73">
        <v>1570040</v>
      </c>
      <c r="E60" s="74">
        <f t="shared" si="0"/>
        <v>0.90460935699469924</v>
      </c>
      <c r="F60" s="75">
        <v>1</v>
      </c>
    </row>
    <row r="61" spans="1:6" ht="23.15">
      <c r="A61" s="72" t="s">
        <v>28</v>
      </c>
      <c r="B61" s="72" t="s">
        <v>29</v>
      </c>
      <c r="C61" s="73">
        <v>1735600</v>
      </c>
      <c r="D61" s="73">
        <v>1570040</v>
      </c>
      <c r="E61" s="74">
        <f t="shared" si="0"/>
        <v>0.90460935699469924</v>
      </c>
      <c r="F61" s="75">
        <v>1</v>
      </c>
    </row>
    <row r="62" spans="1:6" ht="23.15">
      <c r="A62" s="72" t="s">
        <v>30</v>
      </c>
      <c r="B62" s="72" t="s">
        <v>31</v>
      </c>
      <c r="C62" s="73">
        <v>652400</v>
      </c>
      <c r="D62" s="73">
        <v>565490</v>
      </c>
      <c r="E62" s="74">
        <f t="shared" si="0"/>
        <v>0.86678418148375225</v>
      </c>
      <c r="F62" s="75">
        <v>1</v>
      </c>
    </row>
    <row r="63" spans="1:6" ht="23.15">
      <c r="A63" s="72" t="s">
        <v>32</v>
      </c>
      <c r="B63" s="72" t="s">
        <v>33</v>
      </c>
      <c r="C63" s="73">
        <v>275600</v>
      </c>
      <c r="D63" s="73">
        <v>253080</v>
      </c>
      <c r="E63" s="74">
        <f t="shared" si="0"/>
        <v>0.91828737300435415</v>
      </c>
      <c r="F63" s="75">
        <v>1</v>
      </c>
    </row>
    <row r="64" spans="1:6" ht="23.15">
      <c r="A64" s="72" t="s">
        <v>34</v>
      </c>
      <c r="B64" s="72" t="s">
        <v>35</v>
      </c>
      <c r="C64" s="73">
        <v>807600</v>
      </c>
      <c r="D64" s="73">
        <v>751470</v>
      </c>
      <c r="E64" s="74">
        <f t="shared" si="0"/>
        <v>0.93049777117384846</v>
      </c>
      <c r="F64" s="75">
        <v>1</v>
      </c>
    </row>
    <row r="65" spans="1:6" ht="23.15">
      <c r="A65" s="72" t="s">
        <v>36</v>
      </c>
      <c r="B65" s="72" t="s">
        <v>37</v>
      </c>
      <c r="C65" s="73">
        <v>2243000</v>
      </c>
      <c r="D65" s="73">
        <v>1140000</v>
      </c>
      <c r="E65" s="74">
        <f t="shared" si="0"/>
        <v>0.50824788230049045</v>
      </c>
      <c r="F65" s="75">
        <v>1</v>
      </c>
    </row>
    <row r="66" spans="1:6" ht="23.15">
      <c r="A66" s="72" t="s">
        <v>38</v>
      </c>
      <c r="B66" s="72" t="s">
        <v>39</v>
      </c>
      <c r="C66" s="73">
        <v>2243000</v>
      </c>
      <c r="D66" s="73">
        <v>1140000</v>
      </c>
      <c r="E66" s="74">
        <f t="shared" ref="E66:E67" si="1">D66/C66*100%</f>
        <v>0.50824788230049045</v>
      </c>
      <c r="F66" s="75">
        <v>1</v>
      </c>
    </row>
    <row r="67" spans="1:6" ht="23.15">
      <c r="A67" s="72" t="s">
        <v>40</v>
      </c>
      <c r="B67" s="72" t="s">
        <v>41</v>
      </c>
      <c r="C67" s="73">
        <v>2243000</v>
      </c>
      <c r="D67" s="73">
        <v>1140000</v>
      </c>
      <c r="E67" s="74">
        <f t="shared" si="1"/>
        <v>0.50824788230049045</v>
      </c>
      <c r="F67" s="75">
        <v>1</v>
      </c>
    </row>
    <row r="68" spans="1:6">
      <c r="F68" s="55"/>
    </row>
    <row r="69" spans="1:6">
      <c r="F69" s="55"/>
    </row>
    <row r="70" spans="1:6">
      <c r="F70" s="55"/>
    </row>
    <row r="71" spans="1:6">
      <c r="F71" s="55"/>
    </row>
    <row r="72" spans="1:6">
      <c r="F72" s="55"/>
    </row>
    <row r="73" spans="1:6">
      <c r="F73" s="55"/>
    </row>
  </sheetData>
  <pageMargins left="0.7" right="0.7" top="0.75" bottom="0.75" header="0.3" footer="0.3"/>
  <pageSetup paperSize="9" scale="42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1536-6322-4EB6-B2AB-B279C8BEA35C}">
  <dimension ref="A1:F56"/>
  <sheetViews>
    <sheetView view="pageBreakPreview" zoomScale="60" zoomScaleNormal="100" workbookViewId="0">
      <selection activeCell="L26" sqref="L26"/>
    </sheetView>
  </sheetViews>
  <sheetFormatPr defaultColWidth="9.23046875" defaultRowHeight="20.6"/>
  <cols>
    <col min="1" max="1" width="18.765625" style="65" bestFit="1" customWidth="1"/>
    <col min="2" max="2" width="47" style="65" customWidth="1"/>
    <col min="3" max="3" width="27.3046875" style="65" customWidth="1"/>
    <col min="4" max="4" width="27.84375" style="65" customWidth="1"/>
    <col min="5" max="5" width="20.4609375" style="66" customWidth="1"/>
    <col min="6" max="6" width="35" style="67" customWidth="1"/>
    <col min="7" max="7" width="9.3046875" style="65" customWidth="1"/>
    <col min="8" max="16384" width="9.23046875" style="65"/>
  </cols>
  <sheetData>
    <row r="1" spans="1:6">
      <c r="A1" s="139"/>
      <c r="B1" s="139" t="s">
        <v>322</v>
      </c>
      <c r="C1" s="139" t="s">
        <v>323</v>
      </c>
      <c r="D1" s="139" t="s">
        <v>324</v>
      </c>
      <c r="E1" s="140" t="s">
        <v>325</v>
      </c>
      <c r="F1" s="141" t="s">
        <v>326</v>
      </c>
    </row>
    <row r="2" spans="1:6">
      <c r="A2" s="135"/>
      <c r="B2" s="135" t="s">
        <v>61</v>
      </c>
      <c r="C2" s="136">
        <v>2487412300</v>
      </c>
      <c r="D2" s="136">
        <v>1352677837</v>
      </c>
      <c r="E2" s="137">
        <f t="shared" ref="E2:E55" si="0">D2/C2*100%</f>
        <v>0.54380925791835955</v>
      </c>
      <c r="F2" s="138">
        <v>0.70608522238150873</v>
      </c>
    </row>
    <row r="3" spans="1:6">
      <c r="A3" s="68" t="s">
        <v>62</v>
      </c>
      <c r="B3" s="68" t="s">
        <v>63</v>
      </c>
      <c r="C3" s="69">
        <v>2487412300</v>
      </c>
      <c r="D3" s="69">
        <v>1352677837</v>
      </c>
      <c r="E3" s="70">
        <f t="shared" si="0"/>
        <v>0.54380925791835955</v>
      </c>
      <c r="F3" s="71">
        <v>0.70608522238150873</v>
      </c>
    </row>
    <row r="4" spans="1:6">
      <c r="A4" s="68" t="s">
        <v>64</v>
      </c>
      <c r="B4" s="68" t="s">
        <v>65</v>
      </c>
      <c r="C4" s="69">
        <v>1671908000</v>
      </c>
      <c r="D4" s="69">
        <v>1056931132</v>
      </c>
      <c r="E4" s="70">
        <f t="shared" si="0"/>
        <v>0.63217062900590226</v>
      </c>
      <c r="F4" s="71">
        <v>0.73719072281489173</v>
      </c>
    </row>
    <row r="5" spans="1:6">
      <c r="A5" s="68" t="s">
        <v>66</v>
      </c>
      <c r="B5" s="68" t="s">
        <v>67</v>
      </c>
      <c r="C5" s="69">
        <v>1149414000</v>
      </c>
      <c r="D5" s="69">
        <v>766782694</v>
      </c>
      <c r="E5" s="70">
        <f t="shared" si="0"/>
        <v>0.66710749477559872</v>
      </c>
      <c r="F5" s="71">
        <v>0.7594110877368816</v>
      </c>
    </row>
    <row r="6" spans="1:6">
      <c r="A6" s="68" t="s">
        <v>68</v>
      </c>
      <c r="B6" s="68" t="s">
        <v>69</v>
      </c>
      <c r="C6" s="69">
        <v>1149414000</v>
      </c>
      <c r="D6" s="69">
        <v>766782694</v>
      </c>
      <c r="E6" s="70">
        <f t="shared" si="0"/>
        <v>0.66710749477559872</v>
      </c>
      <c r="F6" s="71">
        <v>0.7594110877368816</v>
      </c>
    </row>
    <row r="7" spans="1:6">
      <c r="A7" s="68" t="s">
        <v>70</v>
      </c>
      <c r="B7" s="68" t="s">
        <v>71</v>
      </c>
      <c r="C7" s="69">
        <v>154448000</v>
      </c>
      <c r="D7" s="69">
        <v>83164040</v>
      </c>
      <c r="E7" s="70">
        <f t="shared" si="0"/>
        <v>0.53845980524189374</v>
      </c>
      <c r="F7" s="71">
        <v>0.66179943411374698</v>
      </c>
    </row>
    <row r="8" spans="1:6">
      <c r="A8" s="68" t="s">
        <v>72</v>
      </c>
      <c r="B8" s="68" t="s">
        <v>73</v>
      </c>
      <c r="C8" s="69">
        <v>154448000</v>
      </c>
      <c r="D8" s="69">
        <v>83164040</v>
      </c>
      <c r="E8" s="70">
        <f t="shared" si="0"/>
        <v>0.53845980524189374</v>
      </c>
      <c r="F8" s="71">
        <v>0.66179943411374698</v>
      </c>
    </row>
    <row r="9" spans="1:6">
      <c r="A9" s="68" t="s">
        <v>74</v>
      </c>
      <c r="B9" s="68" t="s">
        <v>75</v>
      </c>
      <c r="C9" s="69">
        <v>118902000</v>
      </c>
      <c r="D9" s="69">
        <v>74240000</v>
      </c>
      <c r="E9" s="70">
        <f t="shared" si="0"/>
        <v>0.62437974129955764</v>
      </c>
      <c r="F9" s="71">
        <v>0.76362887083480513</v>
      </c>
    </row>
    <row r="10" spans="1:6">
      <c r="A10" s="68" t="s">
        <v>76</v>
      </c>
      <c r="B10" s="68" t="s">
        <v>77</v>
      </c>
      <c r="C10" s="69">
        <v>118902000</v>
      </c>
      <c r="D10" s="69">
        <v>74240000</v>
      </c>
      <c r="E10" s="70">
        <f t="shared" si="0"/>
        <v>0.62437974129955764</v>
      </c>
      <c r="F10" s="71">
        <v>0.76362887083480513</v>
      </c>
    </row>
    <row r="11" spans="1:6">
      <c r="A11" s="68" t="s">
        <v>78</v>
      </c>
      <c r="B11" s="68" t="s">
        <v>79</v>
      </c>
      <c r="C11" s="69">
        <v>130326000</v>
      </c>
      <c r="D11" s="69">
        <v>69600000</v>
      </c>
      <c r="E11" s="70">
        <f t="shared" si="0"/>
        <v>0.53404539385847793</v>
      </c>
      <c r="F11" s="71">
        <v>0.63946718229670207</v>
      </c>
    </row>
    <row r="12" spans="1:6">
      <c r="A12" s="68" t="s">
        <v>80</v>
      </c>
      <c r="B12" s="68" t="s">
        <v>81</v>
      </c>
      <c r="C12" s="69">
        <v>130326000</v>
      </c>
      <c r="D12" s="69">
        <v>69600000</v>
      </c>
      <c r="E12" s="70">
        <f t="shared" si="0"/>
        <v>0.53404539385847793</v>
      </c>
      <c r="F12" s="71">
        <v>0.63946718229670207</v>
      </c>
    </row>
    <row r="13" spans="1:6">
      <c r="A13" s="68" t="s">
        <v>82</v>
      </c>
      <c r="B13" s="68" t="s">
        <v>83</v>
      </c>
      <c r="C13" s="69">
        <v>18522000</v>
      </c>
      <c r="D13" s="69">
        <v>9205000</v>
      </c>
      <c r="E13" s="70">
        <f t="shared" si="0"/>
        <v>0.49697656840513982</v>
      </c>
      <c r="F13" s="71">
        <v>0.59919285174387216</v>
      </c>
    </row>
    <row r="14" spans="1:6">
      <c r="A14" s="68" t="s">
        <v>84</v>
      </c>
      <c r="B14" s="68" t="s">
        <v>85</v>
      </c>
      <c r="C14" s="69">
        <v>18522000</v>
      </c>
      <c r="D14" s="69">
        <v>9205000</v>
      </c>
      <c r="E14" s="70">
        <f t="shared" si="0"/>
        <v>0.49697656840513982</v>
      </c>
      <c r="F14" s="71">
        <v>0.59919285174387216</v>
      </c>
    </row>
    <row r="15" spans="1:6">
      <c r="A15" s="68" t="s">
        <v>86</v>
      </c>
      <c r="B15" s="68" t="s">
        <v>87</v>
      </c>
      <c r="C15" s="69">
        <v>79002000</v>
      </c>
      <c r="D15" s="69">
        <v>43886520</v>
      </c>
      <c r="E15" s="70">
        <f t="shared" si="0"/>
        <v>0.55551150603782185</v>
      </c>
      <c r="F15" s="71">
        <v>0.66478043593833069</v>
      </c>
    </row>
    <row r="16" spans="1:6">
      <c r="A16" s="68" t="s">
        <v>88</v>
      </c>
      <c r="B16" s="68" t="s">
        <v>89</v>
      </c>
      <c r="C16" s="69">
        <v>79002000</v>
      </c>
      <c r="D16" s="69">
        <v>43886520</v>
      </c>
      <c r="E16" s="70">
        <f t="shared" si="0"/>
        <v>0.55551150603782185</v>
      </c>
      <c r="F16" s="71">
        <v>0.66478043593833069</v>
      </c>
    </row>
    <row r="17" spans="1:6">
      <c r="A17" s="68" t="s">
        <v>90</v>
      </c>
      <c r="B17" s="68" t="s">
        <v>91</v>
      </c>
      <c r="C17" s="69">
        <v>21252000</v>
      </c>
      <c r="D17" s="69">
        <v>10042763</v>
      </c>
      <c r="E17" s="70">
        <f t="shared" si="0"/>
        <v>0.47255613589309242</v>
      </c>
      <c r="F17" s="71">
        <v>0.92359768492377192</v>
      </c>
    </row>
    <row r="18" spans="1:6">
      <c r="A18" s="68" t="s">
        <v>92</v>
      </c>
      <c r="B18" s="68" t="s">
        <v>93</v>
      </c>
      <c r="C18" s="69">
        <v>21252000</v>
      </c>
      <c r="D18" s="69">
        <v>10042763</v>
      </c>
      <c r="E18" s="70">
        <f t="shared" si="0"/>
        <v>0.47255613589309242</v>
      </c>
      <c r="F18" s="71">
        <v>0.92359768492377192</v>
      </c>
    </row>
    <row r="19" spans="1:6">
      <c r="A19" s="68" t="s">
        <v>94</v>
      </c>
      <c r="B19" s="68" t="s">
        <v>95</v>
      </c>
      <c r="C19" s="69">
        <v>42000</v>
      </c>
      <c r="D19" s="69">
        <v>10115</v>
      </c>
      <c r="E19" s="70">
        <f t="shared" si="0"/>
        <v>0.24083333333333334</v>
      </c>
      <c r="F19" s="71">
        <v>1</v>
      </c>
    </row>
    <row r="20" spans="1:6">
      <c r="A20" s="68" t="s">
        <v>96</v>
      </c>
      <c r="B20" s="68" t="s">
        <v>97</v>
      </c>
      <c r="C20" s="69">
        <v>42000</v>
      </c>
      <c r="D20" s="69">
        <v>10115</v>
      </c>
      <c r="E20" s="70">
        <f t="shared" si="0"/>
        <v>0.24083333333333334</v>
      </c>
      <c r="F20" s="71">
        <v>1</v>
      </c>
    </row>
    <row r="21" spans="1:6">
      <c r="A21" s="68" t="s">
        <v>98</v>
      </c>
      <c r="B21" s="68" t="s">
        <v>99</v>
      </c>
      <c r="C21" s="69">
        <v>815504300</v>
      </c>
      <c r="D21" s="69">
        <v>295746705</v>
      </c>
      <c r="E21" s="70">
        <f t="shared" si="0"/>
        <v>0.36265499151874492</v>
      </c>
      <c r="F21" s="71">
        <v>0.64231420974726927</v>
      </c>
    </row>
    <row r="22" spans="1:6">
      <c r="A22" s="68" t="s">
        <v>100</v>
      </c>
      <c r="B22" s="68" t="s">
        <v>101</v>
      </c>
      <c r="C22" s="69">
        <v>815504300</v>
      </c>
      <c r="D22" s="69">
        <v>295746705</v>
      </c>
      <c r="E22" s="70">
        <f t="shared" si="0"/>
        <v>0.36265499151874492</v>
      </c>
      <c r="F22" s="71">
        <v>0.64231420974726927</v>
      </c>
    </row>
    <row r="23" spans="1:6">
      <c r="A23" s="68" t="s">
        <v>102</v>
      </c>
      <c r="B23" s="68" t="s">
        <v>103</v>
      </c>
      <c r="C23" s="69">
        <v>815504300</v>
      </c>
      <c r="D23" s="69">
        <v>295746705</v>
      </c>
      <c r="E23" s="70">
        <f t="shared" si="0"/>
        <v>0.36265499151874492</v>
      </c>
      <c r="F23" s="71">
        <v>0.64231420974726927</v>
      </c>
    </row>
    <row r="24" spans="1:6">
      <c r="A24" s="68"/>
      <c r="B24" s="68" t="s">
        <v>105</v>
      </c>
      <c r="C24" s="69">
        <v>172576400</v>
      </c>
      <c r="D24" s="69">
        <v>49402383</v>
      </c>
      <c r="E24" s="70">
        <f t="shared" si="0"/>
        <v>0.28626384024698626</v>
      </c>
      <c r="F24" s="71">
        <v>0.61522302006531604</v>
      </c>
    </row>
    <row r="25" spans="1:6">
      <c r="A25" s="68" t="s">
        <v>24</v>
      </c>
      <c r="B25" s="68" t="s">
        <v>25</v>
      </c>
      <c r="C25" s="69">
        <v>172576400</v>
      </c>
      <c r="D25" s="69">
        <v>49402383</v>
      </c>
      <c r="E25" s="70">
        <f t="shared" si="0"/>
        <v>0.28626384024698626</v>
      </c>
      <c r="F25" s="71">
        <v>0.61522302006531604</v>
      </c>
    </row>
    <row r="26" spans="1:6">
      <c r="A26" s="68" t="s">
        <v>26</v>
      </c>
      <c r="B26" s="68" t="s">
        <v>27</v>
      </c>
      <c r="C26" s="69">
        <v>13952400</v>
      </c>
      <c r="D26" s="69">
        <v>4002383</v>
      </c>
      <c r="E26" s="70">
        <f t="shared" si="0"/>
        <v>0.28685982339955851</v>
      </c>
      <c r="F26" s="71">
        <v>0.84272053553510506</v>
      </c>
    </row>
    <row r="27" spans="1:6">
      <c r="A27" s="68" t="s">
        <v>28</v>
      </c>
      <c r="B27" s="68" t="s">
        <v>29</v>
      </c>
      <c r="C27" s="69">
        <v>13952400</v>
      </c>
      <c r="D27" s="69">
        <v>4002383</v>
      </c>
      <c r="E27" s="70">
        <f t="shared" si="0"/>
        <v>0.28685982339955851</v>
      </c>
      <c r="F27" s="71">
        <v>0.84272053553510506</v>
      </c>
    </row>
    <row r="28" spans="1:6">
      <c r="A28" s="68" t="s">
        <v>30</v>
      </c>
      <c r="B28" s="68" t="s">
        <v>31</v>
      </c>
      <c r="C28" s="69">
        <v>9398400</v>
      </c>
      <c r="D28" s="69">
        <v>3588353</v>
      </c>
      <c r="E28" s="70">
        <f t="shared" si="0"/>
        <v>0.38180466887980935</v>
      </c>
      <c r="F28" s="71">
        <v>0.76651068266939049</v>
      </c>
    </row>
    <row r="29" spans="1:6">
      <c r="A29" s="68" t="s">
        <v>34</v>
      </c>
      <c r="B29" s="68" t="s">
        <v>35</v>
      </c>
      <c r="C29" s="69">
        <v>4554000</v>
      </c>
      <c r="D29" s="69">
        <v>414030</v>
      </c>
      <c r="E29" s="70">
        <f t="shared" si="0"/>
        <v>9.0915678524374183E-2</v>
      </c>
      <c r="F29" s="71">
        <v>1</v>
      </c>
    </row>
    <row r="30" spans="1:6">
      <c r="A30" s="68" t="s">
        <v>36</v>
      </c>
      <c r="B30" s="68" t="s">
        <v>37</v>
      </c>
      <c r="C30" s="69">
        <v>158624000</v>
      </c>
      <c r="D30" s="69">
        <v>45400000</v>
      </c>
      <c r="E30" s="70">
        <f t="shared" si="0"/>
        <v>0.28621141819648982</v>
      </c>
      <c r="F30" s="71">
        <v>0.59521257817228157</v>
      </c>
    </row>
    <row r="31" spans="1:6">
      <c r="A31" s="68" t="s">
        <v>38</v>
      </c>
      <c r="B31" s="68" t="s">
        <v>39</v>
      </c>
      <c r="C31" s="69">
        <v>158624000</v>
      </c>
      <c r="D31" s="69">
        <v>45400000</v>
      </c>
      <c r="E31" s="70">
        <f t="shared" si="0"/>
        <v>0.28621141819648982</v>
      </c>
      <c r="F31" s="71">
        <v>0.59521257817228157</v>
      </c>
    </row>
    <row r="32" spans="1:6">
      <c r="A32" s="68" t="s">
        <v>106</v>
      </c>
      <c r="B32" s="68" t="s">
        <v>107</v>
      </c>
      <c r="C32" s="69">
        <v>9000000</v>
      </c>
      <c r="D32" s="69">
        <v>3750000</v>
      </c>
      <c r="E32" s="70">
        <f t="shared" si="0"/>
        <v>0.41666666666666669</v>
      </c>
      <c r="F32" s="71">
        <v>0.58333333333333337</v>
      </c>
    </row>
    <row r="33" spans="1:6">
      <c r="A33" s="68" t="s">
        <v>108</v>
      </c>
      <c r="B33" s="68" t="s">
        <v>109</v>
      </c>
      <c r="C33" s="69">
        <v>1200000</v>
      </c>
      <c r="D33" s="69" t="s">
        <v>318</v>
      </c>
      <c r="E33" s="70">
        <f t="shared" si="0"/>
        <v>0</v>
      </c>
      <c r="F33" s="71">
        <v>0.83333333333333337</v>
      </c>
    </row>
    <row r="34" spans="1:6">
      <c r="A34" s="68" t="s">
        <v>110</v>
      </c>
      <c r="B34" s="68" t="s">
        <v>111</v>
      </c>
      <c r="C34" s="69">
        <v>37500000</v>
      </c>
      <c r="D34" s="69" t="s">
        <v>318</v>
      </c>
      <c r="E34" s="70">
        <f t="shared" si="0"/>
        <v>0</v>
      </c>
      <c r="F34" s="71">
        <v>0.59333333333333338</v>
      </c>
    </row>
    <row r="35" spans="1:6">
      <c r="A35" s="68" t="s">
        <v>40</v>
      </c>
      <c r="B35" s="68" t="s">
        <v>41</v>
      </c>
      <c r="C35" s="69">
        <v>7184000</v>
      </c>
      <c r="D35" s="69" t="s">
        <v>318</v>
      </c>
      <c r="E35" s="70">
        <f t="shared" si="0"/>
        <v>0</v>
      </c>
      <c r="F35" s="71">
        <v>0.75167037861915365</v>
      </c>
    </row>
    <row r="36" spans="1:6">
      <c r="A36" s="68" t="s">
        <v>112</v>
      </c>
      <c r="B36" s="68" t="s">
        <v>113</v>
      </c>
      <c r="C36" s="69">
        <v>103740000</v>
      </c>
      <c r="D36" s="69">
        <v>41650000</v>
      </c>
      <c r="E36" s="70">
        <f t="shared" si="0"/>
        <v>0.40148448043184887</v>
      </c>
      <c r="F36" s="71">
        <v>0.58333333333333337</v>
      </c>
    </row>
    <row r="37" spans="1:6">
      <c r="A37" s="68"/>
      <c r="B37" s="68" t="s">
        <v>115</v>
      </c>
      <c r="C37" s="69">
        <v>2238500</v>
      </c>
      <c r="D37" s="69">
        <v>2203257</v>
      </c>
      <c r="E37" s="70">
        <f t="shared" si="0"/>
        <v>0.98425597498324768</v>
      </c>
      <c r="F37" s="71">
        <v>1</v>
      </c>
    </row>
    <row r="38" spans="1:6">
      <c r="A38" s="68" t="s">
        <v>24</v>
      </c>
      <c r="B38" s="68" t="s">
        <v>25</v>
      </c>
      <c r="C38" s="69">
        <v>2238500</v>
      </c>
      <c r="D38" s="69">
        <v>2203257</v>
      </c>
      <c r="E38" s="70">
        <f t="shared" si="0"/>
        <v>0.98425597498324768</v>
      </c>
      <c r="F38" s="71">
        <v>1</v>
      </c>
    </row>
    <row r="39" spans="1:6">
      <c r="A39" s="68" t="s">
        <v>26</v>
      </c>
      <c r="B39" s="68" t="s">
        <v>27</v>
      </c>
      <c r="C39" s="69">
        <v>1438500</v>
      </c>
      <c r="D39" s="69">
        <v>1408257</v>
      </c>
      <c r="E39" s="70">
        <f t="shared" si="0"/>
        <v>0.97897601668404588</v>
      </c>
      <c r="F39" s="71">
        <v>1</v>
      </c>
    </row>
    <row r="40" spans="1:6">
      <c r="A40" s="68" t="s">
        <v>28</v>
      </c>
      <c r="B40" s="68" t="s">
        <v>29</v>
      </c>
      <c r="C40" s="69">
        <v>1438500</v>
      </c>
      <c r="D40" s="69">
        <v>1408257</v>
      </c>
      <c r="E40" s="70">
        <f t="shared" si="0"/>
        <v>0.97897601668404588</v>
      </c>
      <c r="F40" s="71">
        <v>1</v>
      </c>
    </row>
    <row r="41" spans="1:6">
      <c r="A41" s="68" t="s">
        <v>30</v>
      </c>
      <c r="B41" s="68" t="s">
        <v>31</v>
      </c>
      <c r="C41" s="69">
        <v>660400</v>
      </c>
      <c r="D41" s="69">
        <v>639249</v>
      </c>
      <c r="E41" s="70">
        <f t="shared" si="0"/>
        <v>0.96797244094488188</v>
      </c>
      <c r="F41" s="71">
        <v>1</v>
      </c>
    </row>
    <row r="42" spans="1:6">
      <c r="A42" s="68" t="s">
        <v>32</v>
      </c>
      <c r="B42" s="68" t="s">
        <v>33</v>
      </c>
      <c r="C42" s="69">
        <v>162000</v>
      </c>
      <c r="D42" s="69">
        <v>160950</v>
      </c>
      <c r="E42" s="70">
        <f t="shared" si="0"/>
        <v>0.99351851851851847</v>
      </c>
      <c r="F42" s="71">
        <v>1</v>
      </c>
    </row>
    <row r="43" spans="1:6">
      <c r="A43" s="68" t="s">
        <v>34</v>
      </c>
      <c r="B43" s="68" t="s">
        <v>35</v>
      </c>
      <c r="C43" s="69">
        <v>616100</v>
      </c>
      <c r="D43" s="69">
        <v>608058</v>
      </c>
      <c r="E43" s="70">
        <f t="shared" si="0"/>
        <v>0.9869469242006168</v>
      </c>
      <c r="F43" s="71">
        <v>1</v>
      </c>
    </row>
    <row r="44" spans="1:6">
      <c r="A44" s="68" t="s">
        <v>36</v>
      </c>
      <c r="B44" s="68" t="s">
        <v>37</v>
      </c>
      <c r="C44" s="69">
        <v>800000</v>
      </c>
      <c r="D44" s="69">
        <v>795000</v>
      </c>
      <c r="E44" s="70">
        <f t="shared" si="0"/>
        <v>0.99375000000000002</v>
      </c>
      <c r="F44" s="71">
        <v>1</v>
      </c>
    </row>
    <row r="45" spans="1:6">
      <c r="A45" s="68" t="s">
        <v>38</v>
      </c>
      <c r="B45" s="68" t="s">
        <v>39</v>
      </c>
      <c r="C45" s="69">
        <v>800000</v>
      </c>
      <c r="D45" s="69">
        <v>795000</v>
      </c>
      <c r="E45" s="70">
        <f t="shared" si="0"/>
        <v>0.99375000000000002</v>
      </c>
      <c r="F45" s="71">
        <v>1</v>
      </c>
    </row>
    <row r="46" spans="1:6">
      <c r="A46" s="68" t="s">
        <v>40</v>
      </c>
      <c r="B46" s="68" t="s">
        <v>41</v>
      </c>
      <c r="C46" s="69">
        <v>800000</v>
      </c>
      <c r="D46" s="69">
        <v>795000</v>
      </c>
      <c r="E46" s="70">
        <f t="shared" si="0"/>
        <v>0.99375000000000002</v>
      </c>
      <c r="F46" s="71">
        <v>1</v>
      </c>
    </row>
    <row r="47" spans="1:6">
      <c r="A47" s="68"/>
      <c r="B47" s="68" t="s">
        <v>117</v>
      </c>
      <c r="C47" s="69">
        <v>1462600</v>
      </c>
      <c r="D47" s="69">
        <v>1380543</v>
      </c>
      <c r="E47" s="70">
        <f t="shared" si="0"/>
        <v>0.94389648571037876</v>
      </c>
      <c r="F47" s="71">
        <v>1</v>
      </c>
    </row>
    <row r="48" spans="1:6">
      <c r="A48" s="68" t="s">
        <v>24</v>
      </c>
      <c r="B48" s="68" t="s">
        <v>25</v>
      </c>
      <c r="C48" s="69">
        <v>1462600</v>
      </c>
      <c r="D48" s="69">
        <v>1380543</v>
      </c>
      <c r="E48" s="70">
        <f t="shared" si="0"/>
        <v>0.94389648571037876</v>
      </c>
      <c r="F48" s="71">
        <v>1</v>
      </c>
    </row>
    <row r="49" spans="1:6">
      <c r="A49" s="68" t="s">
        <v>26</v>
      </c>
      <c r="B49" s="68" t="s">
        <v>27</v>
      </c>
      <c r="C49" s="69">
        <v>941600</v>
      </c>
      <c r="D49" s="69">
        <v>900543</v>
      </c>
      <c r="E49" s="70">
        <f t="shared" si="0"/>
        <v>0.95639655904842824</v>
      </c>
      <c r="F49" s="71">
        <v>1</v>
      </c>
    </row>
    <row r="50" spans="1:6">
      <c r="A50" s="68" t="s">
        <v>28</v>
      </c>
      <c r="B50" s="68" t="s">
        <v>29</v>
      </c>
      <c r="C50" s="69">
        <v>941600</v>
      </c>
      <c r="D50" s="69">
        <v>900543</v>
      </c>
      <c r="E50" s="70">
        <f t="shared" si="0"/>
        <v>0.95639655904842824</v>
      </c>
      <c r="F50" s="71">
        <v>1</v>
      </c>
    </row>
    <row r="51" spans="1:6">
      <c r="A51" s="68" t="s">
        <v>30</v>
      </c>
      <c r="B51" s="68" t="s">
        <v>31</v>
      </c>
      <c r="C51" s="69">
        <v>779600</v>
      </c>
      <c r="D51" s="69">
        <v>745143</v>
      </c>
      <c r="E51" s="70">
        <f t="shared" si="0"/>
        <v>0.95580169317598773</v>
      </c>
      <c r="F51" s="71">
        <v>1</v>
      </c>
    </row>
    <row r="52" spans="1:6">
      <c r="A52" s="68" t="s">
        <v>32</v>
      </c>
      <c r="B52" s="68" t="s">
        <v>33</v>
      </c>
      <c r="C52" s="69">
        <v>162000</v>
      </c>
      <c r="D52" s="69">
        <v>155400</v>
      </c>
      <c r="E52" s="70">
        <f t="shared" si="0"/>
        <v>0.95925925925925926</v>
      </c>
      <c r="F52" s="71">
        <v>1</v>
      </c>
    </row>
    <row r="53" spans="1:6">
      <c r="A53" s="68" t="s">
        <v>36</v>
      </c>
      <c r="B53" s="68" t="s">
        <v>37</v>
      </c>
      <c r="C53" s="69">
        <v>521000</v>
      </c>
      <c r="D53" s="69">
        <v>480000</v>
      </c>
      <c r="E53" s="70">
        <f t="shared" si="0"/>
        <v>0.92130518234165071</v>
      </c>
      <c r="F53" s="71">
        <v>1</v>
      </c>
    </row>
    <row r="54" spans="1:6">
      <c r="A54" s="68" t="s">
        <v>38</v>
      </c>
      <c r="B54" s="68" t="s">
        <v>39</v>
      </c>
      <c r="C54" s="69">
        <v>521000</v>
      </c>
      <c r="D54" s="69">
        <v>480000</v>
      </c>
      <c r="E54" s="70">
        <f t="shared" si="0"/>
        <v>0.92130518234165071</v>
      </c>
      <c r="F54" s="71">
        <v>1</v>
      </c>
    </row>
    <row r="55" spans="1:6">
      <c r="A55" s="68" t="s">
        <v>40</v>
      </c>
      <c r="B55" s="68" t="s">
        <v>41</v>
      </c>
      <c r="C55" s="69">
        <v>521000</v>
      </c>
      <c r="D55" s="69">
        <v>480000</v>
      </c>
      <c r="E55" s="70">
        <f t="shared" si="0"/>
        <v>0.92130518234165071</v>
      </c>
      <c r="F55" s="71">
        <v>1</v>
      </c>
    </row>
    <row r="56" spans="1:6">
      <c r="F56" s="71"/>
    </row>
  </sheetData>
  <pageMargins left="0.7" right="0.7" top="0.75" bottom="0.75" header="0.3" footer="0.3"/>
  <pageSetup paperSize="9" scale="4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B865-69E4-49B7-B04B-42411EF44A56}">
  <dimension ref="A1:F109"/>
  <sheetViews>
    <sheetView view="pageBreakPreview" zoomScale="60" zoomScaleNormal="100" workbookViewId="0">
      <selection activeCell="C92" sqref="C92"/>
    </sheetView>
  </sheetViews>
  <sheetFormatPr defaultColWidth="9.23046875" defaultRowHeight="18.45"/>
  <cols>
    <col min="1" max="1" width="18.765625" style="58" bestFit="1" customWidth="1"/>
    <col min="2" max="2" width="109" style="58" bestFit="1" customWidth="1"/>
    <col min="3" max="3" width="28" style="58" customWidth="1"/>
    <col min="4" max="4" width="17" style="58" bestFit="1" customWidth="1"/>
    <col min="5" max="5" width="17.23046875" style="59" customWidth="1"/>
    <col min="6" max="6" width="35.07421875" style="60" customWidth="1"/>
    <col min="7" max="16384" width="9.23046875" style="58"/>
  </cols>
  <sheetData>
    <row r="1" spans="1:6">
      <c r="A1" s="125"/>
      <c r="B1" s="125" t="s">
        <v>322</v>
      </c>
      <c r="C1" s="125" t="s">
        <v>323</v>
      </c>
      <c r="D1" s="125" t="s">
        <v>324</v>
      </c>
      <c r="E1" s="126" t="s">
        <v>325</v>
      </c>
      <c r="F1" s="127" t="s">
        <v>326</v>
      </c>
    </row>
    <row r="2" spans="1:6">
      <c r="A2" s="120"/>
      <c r="B2" s="121" t="s">
        <v>327</v>
      </c>
      <c r="C2" s="122">
        <v>1871600</v>
      </c>
      <c r="D2" s="122" t="s">
        <v>318</v>
      </c>
      <c r="E2" s="123">
        <f t="shared" ref="E2:E65" si="0">D2/C2*100%</f>
        <v>0</v>
      </c>
      <c r="F2" s="124">
        <v>1</v>
      </c>
    </row>
    <row r="3" spans="1:6">
      <c r="A3" s="61" t="s">
        <v>24</v>
      </c>
      <c r="B3" s="61" t="s">
        <v>25</v>
      </c>
      <c r="C3" s="62">
        <v>1871600</v>
      </c>
      <c r="D3" s="62" t="s">
        <v>318</v>
      </c>
      <c r="E3" s="63">
        <f t="shared" si="0"/>
        <v>0</v>
      </c>
      <c r="F3" s="64">
        <v>1</v>
      </c>
    </row>
    <row r="4" spans="1:6">
      <c r="A4" s="61" t="s">
        <v>26</v>
      </c>
      <c r="B4" s="61" t="s">
        <v>27</v>
      </c>
      <c r="C4" s="62">
        <v>1871600</v>
      </c>
      <c r="D4" s="62" t="s">
        <v>318</v>
      </c>
      <c r="E4" s="63">
        <f t="shared" si="0"/>
        <v>0</v>
      </c>
      <c r="F4" s="64">
        <v>1</v>
      </c>
    </row>
    <row r="5" spans="1:6">
      <c r="A5" s="61" t="s">
        <v>28</v>
      </c>
      <c r="B5" s="61" t="s">
        <v>29</v>
      </c>
      <c r="C5" s="62">
        <v>1871600</v>
      </c>
      <c r="D5" s="62" t="s">
        <v>318</v>
      </c>
      <c r="E5" s="63">
        <f t="shared" si="0"/>
        <v>0</v>
      </c>
      <c r="F5" s="64">
        <v>1</v>
      </c>
    </row>
    <row r="6" spans="1:6">
      <c r="A6" s="61" t="s">
        <v>121</v>
      </c>
      <c r="B6" s="61" t="s">
        <v>122</v>
      </c>
      <c r="C6" s="62">
        <v>1871600</v>
      </c>
      <c r="D6" s="62" t="s">
        <v>318</v>
      </c>
      <c r="E6" s="63">
        <f t="shared" si="0"/>
        <v>0</v>
      </c>
      <c r="F6" s="64">
        <v>1</v>
      </c>
    </row>
    <row r="7" spans="1:6">
      <c r="A7" s="61"/>
      <c r="B7" s="61" t="s">
        <v>124</v>
      </c>
      <c r="C7" s="62">
        <v>2044000</v>
      </c>
      <c r="D7" s="62">
        <v>471327</v>
      </c>
      <c r="E7" s="63">
        <f t="shared" si="0"/>
        <v>0.23059050880626222</v>
      </c>
      <c r="F7" s="64">
        <v>1</v>
      </c>
    </row>
    <row r="8" spans="1:6">
      <c r="A8" s="61" t="s">
        <v>24</v>
      </c>
      <c r="B8" s="61" t="s">
        <v>25</v>
      </c>
      <c r="C8" s="62">
        <v>2044000</v>
      </c>
      <c r="D8" s="62">
        <v>471327</v>
      </c>
      <c r="E8" s="63">
        <f t="shared" si="0"/>
        <v>0.23059050880626222</v>
      </c>
      <c r="F8" s="64">
        <v>1</v>
      </c>
    </row>
    <row r="9" spans="1:6">
      <c r="A9" s="61" t="s">
        <v>26</v>
      </c>
      <c r="B9" s="61" t="s">
        <v>27</v>
      </c>
      <c r="C9" s="62">
        <v>2044000</v>
      </c>
      <c r="D9" s="62">
        <v>471327</v>
      </c>
      <c r="E9" s="63">
        <f t="shared" si="0"/>
        <v>0.23059050880626222</v>
      </c>
      <c r="F9" s="64">
        <v>1</v>
      </c>
    </row>
    <row r="10" spans="1:6">
      <c r="A10" s="61" t="s">
        <v>28</v>
      </c>
      <c r="B10" s="61" t="s">
        <v>29</v>
      </c>
      <c r="C10" s="62">
        <v>2044000</v>
      </c>
      <c r="D10" s="62">
        <v>471327</v>
      </c>
      <c r="E10" s="63">
        <f t="shared" si="0"/>
        <v>0.23059050880626222</v>
      </c>
      <c r="F10" s="64">
        <v>1</v>
      </c>
    </row>
    <row r="11" spans="1:6">
      <c r="A11" s="61" t="s">
        <v>125</v>
      </c>
      <c r="B11" s="61" t="s">
        <v>126</v>
      </c>
      <c r="C11" s="62">
        <v>2044000</v>
      </c>
      <c r="D11" s="62">
        <v>471327</v>
      </c>
      <c r="E11" s="63">
        <f t="shared" si="0"/>
        <v>0.23059050880626222</v>
      </c>
      <c r="F11" s="64">
        <v>1</v>
      </c>
    </row>
    <row r="12" spans="1:6">
      <c r="A12" s="61"/>
      <c r="B12" s="61" t="s">
        <v>128</v>
      </c>
      <c r="C12" s="62">
        <v>12408100</v>
      </c>
      <c r="D12" s="62">
        <v>6232327</v>
      </c>
      <c r="E12" s="63">
        <f t="shared" si="0"/>
        <v>0.50227891457999208</v>
      </c>
      <c r="F12" s="64">
        <v>0.72644482233379803</v>
      </c>
    </row>
    <row r="13" spans="1:6">
      <c r="A13" s="61" t="s">
        <v>24</v>
      </c>
      <c r="B13" s="61" t="s">
        <v>25</v>
      </c>
      <c r="C13" s="62">
        <v>12408100</v>
      </c>
      <c r="D13" s="62">
        <v>6232327</v>
      </c>
      <c r="E13" s="63">
        <f t="shared" si="0"/>
        <v>0.50227891457999208</v>
      </c>
      <c r="F13" s="64">
        <v>0.72644482233379803</v>
      </c>
    </row>
    <row r="14" spans="1:6">
      <c r="A14" s="61" t="s">
        <v>26</v>
      </c>
      <c r="B14" s="61" t="s">
        <v>27</v>
      </c>
      <c r="C14" s="62">
        <v>12408100</v>
      </c>
      <c r="D14" s="62">
        <v>6232327</v>
      </c>
      <c r="E14" s="63">
        <f t="shared" si="0"/>
        <v>0.50227891457999208</v>
      </c>
      <c r="F14" s="64">
        <v>0.72644482233379803</v>
      </c>
    </row>
    <row r="15" spans="1:6">
      <c r="A15" s="61" t="s">
        <v>28</v>
      </c>
      <c r="B15" s="61" t="s">
        <v>29</v>
      </c>
      <c r="C15" s="62">
        <v>12408100</v>
      </c>
      <c r="D15" s="62">
        <v>6232327</v>
      </c>
      <c r="E15" s="63">
        <f t="shared" si="0"/>
        <v>0.50227891457999208</v>
      </c>
      <c r="F15" s="64">
        <v>0.72644482233379803</v>
      </c>
    </row>
    <row r="16" spans="1:6">
      <c r="A16" s="61" t="s">
        <v>30</v>
      </c>
      <c r="B16" s="61" t="s">
        <v>31</v>
      </c>
      <c r="C16" s="62">
        <v>7752100</v>
      </c>
      <c r="D16" s="62">
        <v>3195034</v>
      </c>
      <c r="E16" s="63">
        <f t="shared" si="0"/>
        <v>0.41215077204886419</v>
      </c>
      <c r="F16" s="64">
        <v>0.73959314250332164</v>
      </c>
    </row>
    <row r="17" spans="1:6">
      <c r="A17" s="61" t="s">
        <v>32</v>
      </c>
      <c r="B17" s="61" t="s">
        <v>33</v>
      </c>
      <c r="C17" s="62">
        <v>1620000</v>
      </c>
      <c r="D17" s="62">
        <v>1107780</v>
      </c>
      <c r="E17" s="63">
        <f t="shared" si="0"/>
        <v>0.68381481481481476</v>
      </c>
      <c r="F17" s="64">
        <v>0.7</v>
      </c>
    </row>
    <row r="18" spans="1:6">
      <c r="A18" s="61" t="s">
        <v>34</v>
      </c>
      <c r="B18" s="61" t="s">
        <v>35</v>
      </c>
      <c r="C18" s="62">
        <v>3036000</v>
      </c>
      <c r="D18" s="62">
        <v>1929513</v>
      </c>
      <c r="E18" s="63">
        <f t="shared" si="0"/>
        <v>0.63554446640316209</v>
      </c>
      <c r="F18" s="64">
        <v>0.70698287220026346</v>
      </c>
    </row>
    <row r="19" spans="1:6">
      <c r="A19" s="61"/>
      <c r="B19" s="61" t="s">
        <v>130</v>
      </c>
      <c r="C19" s="62">
        <v>3582800</v>
      </c>
      <c r="D19" s="62">
        <v>3531066</v>
      </c>
      <c r="E19" s="63">
        <f t="shared" si="0"/>
        <v>0.98556045550965721</v>
      </c>
      <c r="F19" s="64">
        <v>1</v>
      </c>
    </row>
    <row r="20" spans="1:6">
      <c r="A20" s="61" t="s">
        <v>24</v>
      </c>
      <c r="B20" s="61" t="s">
        <v>25</v>
      </c>
      <c r="C20" s="62">
        <v>3582800</v>
      </c>
      <c r="D20" s="62">
        <v>3531066</v>
      </c>
      <c r="E20" s="63">
        <f t="shared" si="0"/>
        <v>0.98556045550965721</v>
      </c>
      <c r="F20" s="64">
        <v>1</v>
      </c>
    </row>
    <row r="21" spans="1:6">
      <c r="A21" s="61" t="s">
        <v>26</v>
      </c>
      <c r="B21" s="61" t="s">
        <v>27</v>
      </c>
      <c r="C21" s="62">
        <v>3582800</v>
      </c>
      <c r="D21" s="62">
        <v>3531066</v>
      </c>
      <c r="E21" s="63">
        <f t="shared" si="0"/>
        <v>0.98556045550965721</v>
      </c>
      <c r="F21" s="64">
        <v>1</v>
      </c>
    </row>
    <row r="22" spans="1:6">
      <c r="A22" s="61" t="s">
        <v>28</v>
      </c>
      <c r="B22" s="61" t="s">
        <v>29</v>
      </c>
      <c r="C22" s="62">
        <v>3582800</v>
      </c>
      <c r="D22" s="62">
        <v>3531066</v>
      </c>
      <c r="E22" s="63">
        <f t="shared" si="0"/>
        <v>0.98556045550965721</v>
      </c>
      <c r="F22" s="64">
        <v>1</v>
      </c>
    </row>
    <row r="23" spans="1:6">
      <c r="A23" s="61" t="s">
        <v>30</v>
      </c>
      <c r="B23" s="61" t="s">
        <v>31</v>
      </c>
      <c r="C23" s="62">
        <v>2893800</v>
      </c>
      <c r="D23" s="62">
        <v>2885101</v>
      </c>
      <c r="E23" s="63">
        <f t="shared" si="0"/>
        <v>0.99699391803165383</v>
      </c>
      <c r="F23" s="64">
        <v>1</v>
      </c>
    </row>
    <row r="24" spans="1:6">
      <c r="A24" s="61" t="s">
        <v>32</v>
      </c>
      <c r="B24" s="61" t="s">
        <v>33</v>
      </c>
      <c r="C24" s="62">
        <v>689000</v>
      </c>
      <c r="D24" s="62">
        <v>645965</v>
      </c>
      <c r="E24" s="63">
        <f t="shared" si="0"/>
        <v>0.93753991291727146</v>
      </c>
      <c r="F24" s="64">
        <v>1</v>
      </c>
    </row>
    <row r="25" spans="1:6">
      <c r="A25" s="61"/>
      <c r="B25" s="61" t="s">
        <v>132</v>
      </c>
      <c r="C25" s="62">
        <v>93892800</v>
      </c>
      <c r="D25" s="62">
        <v>82673920</v>
      </c>
      <c r="E25" s="63">
        <f t="shared" si="0"/>
        <v>0.88051394782134518</v>
      </c>
      <c r="F25" s="64">
        <v>1</v>
      </c>
    </row>
    <row r="26" spans="1:6">
      <c r="A26" s="61" t="s">
        <v>24</v>
      </c>
      <c r="B26" s="61" t="s">
        <v>25</v>
      </c>
      <c r="C26" s="62">
        <v>93892800</v>
      </c>
      <c r="D26" s="62">
        <v>82673920</v>
      </c>
      <c r="E26" s="63">
        <f t="shared" si="0"/>
        <v>0.88051394782134518</v>
      </c>
      <c r="F26" s="64">
        <v>1</v>
      </c>
    </row>
    <row r="27" spans="1:6">
      <c r="A27" s="61" t="s">
        <v>26</v>
      </c>
      <c r="B27" s="61" t="s">
        <v>27</v>
      </c>
      <c r="C27" s="62">
        <v>537800</v>
      </c>
      <c r="D27" s="62">
        <v>523920</v>
      </c>
      <c r="E27" s="63">
        <f t="shared" si="0"/>
        <v>0.97419114912606919</v>
      </c>
      <c r="F27" s="64">
        <v>1</v>
      </c>
    </row>
    <row r="28" spans="1:6">
      <c r="A28" s="61" t="s">
        <v>28</v>
      </c>
      <c r="B28" s="61" t="s">
        <v>29</v>
      </c>
      <c r="C28" s="62">
        <v>537800</v>
      </c>
      <c r="D28" s="62">
        <v>523920</v>
      </c>
      <c r="E28" s="63">
        <f t="shared" si="0"/>
        <v>0.97419114912606919</v>
      </c>
      <c r="F28" s="64">
        <v>1</v>
      </c>
    </row>
    <row r="29" spans="1:6">
      <c r="A29" s="61" t="s">
        <v>30</v>
      </c>
      <c r="B29" s="61" t="s">
        <v>31</v>
      </c>
      <c r="C29" s="62">
        <v>400000</v>
      </c>
      <c r="D29" s="62">
        <v>388500</v>
      </c>
      <c r="E29" s="63">
        <f t="shared" si="0"/>
        <v>0.97124999999999995</v>
      </c>
      <c r="F29" s="64">
        <v>1</v>
      </c>
    </row>
    <row r="30" spans="1:6">
      <c r="A30" s="61" t="s">
        <v>32</v>
      </c>
      <c r="B30" s="61" t="s">
        <v>33</v>
      </c>
      <c r="C30" s="62">
        <v>137800</v>
      </c>
      <c r="D30" s="62">
        <v>135420</v>
      </c>
      <c r="E30" s="63">
        <f t="shared" si="0"/>
        <v>0.98272859216255448</v>
      </c>
      <c r="F30" s="64">
        <v>1</v>
      </c>
    </row>
    <row r="31" spans="1:6">
      <c r="A31" s="61" t="s">
        <v>36</v>
      </c>
      <c r="B31" s="61" t="s">
        <v>37</v>
      </c>
      <c r="C31" s="62">
        <v>93355000</v>
      </c>
      <c r="D31" s="62">
        <v>82150000</v>
      </c>
      <c r="E31" s="63">
        <f t="shared" si="0"/>
        <v>0.87997429168228802</v>
      </c>
      <c r="F31" s="64">
        <v>1</v>
      </c>
    </row>
    <row r="32" spans="1:6">
      <c r="A32" s="61" t="s">
        <v>38</v>
      </c>
      <c r="B32" s="61" t="s">
        <v>39</v>
      </c>
      <c r="C32" s="62">
        <v>93355000</v>
      </c>
      <c r="D32" s="62">
        <v>82150000</v>
      </c>
      <c r="E32" s="63">
        <f t="shared" si="0"/>
        <v>0.87997429168228802</v>
      </c>
      <c r="F32" s="64">
        <v>1</v>
      </c>
    </row>
    <row r="33" spans="1:6">
      <c r="A33" s="61" t="s">
        <v>133</v>
      </c>
      <c r="B33" s="61" t="s">
        <v>134</v>
      </c>
      <c r="C33" s="62">
        <v>93355000</v>
      </c>
      <c r="D33" s="62">
        <v>82150000</v>
      </c>
      <c r="E33" s="63">
        <f t="shared" si="0"/>
        <v>0.87997429168228802</v>
      </c>
      <c r="F33" s="64">
        <v>1</v>
      </c>
    </row>
    <row r="34" spans="1:6">
      <c r="A34" s="61"/>
      <c r="B34" s="61" t="s">
        <v>136</v>
      </c>
      <c r="C34" s="62">
        <v>4050000</v>
      </c>
      <c r="D34" s="62">
        <v>1001250</v>
      </c>
      <c r="E34" s="63">
        <f t="shared" si="0"/>
        <v>0.24722222222222223</v>
      </c>
      <c r="F34" s="64">
        <v>1</v>
      </c>
    </row>
    <row r="35" spans="1:6">
      <c r="A35" s="61" t="s">
        <v>24</v>
      </c>
      <c r="B35" s="61" t="s">
        <v>25</v>
      </c>
      <c r="C35" s="62">
        <v>4050000</v>
      </c>
      <c r="D35" s="62">
        <v>1001250</v>
      </c>
      <c r="E35" s="63">
        <f t="shared" si="0"/>
        <v>0.24722222222222223</v>
      </c>
      <c r="F35" s="64">
        <v>1</v>
      </c>
    </row>
    <row r="36" spans="1:6">
      <c r="A36" s="61" t="s">
        <v>26</v>
      </c>
      <c r="B36" s="61" t="s">
        <v>27</v>
      </c>
      <c r="C36" s="62">
        <v>4050000</v>
      </c>
      <c r="D36" s="62">
        <v>1001250</v>
      </c>
      <c r="E36" s="63">
        <f t="shared" si="0"/>
        <v>0.24722222222222223</v>
      </c>
      <c r="F36" s="64">
        <v>1</v>
      </c>
    </row>
    <row r="37" spans="1:6">
      <c r="A37" s="61" t="s">
        <v>28</v>
      </c>
      <c r="B37" s="61" t="s">
        <v>29</v>
      </c>
      <c r="C37" s="62">
        <v>4050000</v>
      </c>
      <c r="D37" s="62">
        <v>1001250</v>
      </c>
      <c r="E37" s="63">
        <f t="shared" si="0"/>
        <v>0.24722222222222223</v>
      </c>
      <c r="F37" s="64">
        <v>1</v>
      </c>
    </row>
    <row r="38" spans="1:6">
      <c r="A38" s="61" t="s">
        <v>137</v>
      </c>
      <c r="B38" s="61" t="s">
        <v>138</v>
      </c>
      <c r="C38" s="62">
        <v>4050000</v>
      </c>
      <c r="D38" s="62">
        <v>1001250</v>
      </c>
      <c r="E38" s="63">
        <f t="shared" si="0"/>
        <v>0.24722222222222223</v>
      </c>
      <c r="F38" s="64">
        <v>1</v>
      </c>
    </row>
    <row r="39" spans="1:6">
      <c r="A39" s="61"/>
      <c r="B39" s="61" t="s">
        <v>140</v>
      </c>
      <c r="C39" s="62">
        <v>23272000</v>
      </c>
      <c r="D39" s="62">
        <v>18343586</v>
      </c>
      <c r="E39" s="63">
        <f t="shared" si="0"/>
        <v>0.7882255929872809</v>
      </c>
      <c r="F39" s="64">
        <v>0.95101409419044347</v>
      </c>
    </row>
    <row r="40" spans="1:6">
      <c r="A40" s="61" t="s">
        <v>24</v>
      </c>
      <c r="B40" s="61" t="s">
        <v>25</v>
      </c>
      <c r="C40" s="62">
        <v>23272000</v>
      </c>
      <c r="D40" s="62">
        <v>18343586</v>
      </c>
      <c r="E40" s="63">
        <f t="shared" si="0"/>
        <v>0.7882255929872809</v>
      </c>
      <c r="F40" s="64">
        <v>0.95101409419044347</v>
      </c>
    </row>
    <row r="41" spans="1:6">
      <c r="A41" s="61" t="s">
        <v>42</v>
      </c>
      <c r="B41" s="61" t="s">
        <v>43</v>
      </c>
      <c r="C41" s="62">
        <v>23272000</v>
      </c>
      <c r="D41" s="62">
        <v>18343586</v>
      </c>
      <c r="E41" s="63">
        <f t="shared" si="0"/>
        <v>0.7882255929872809</v>
      </c>
      <c r="F41" s="64">
        <v>0.95101409419044347</v>
      </c>
    </row>
    <row r="42" spans="1:6">
      <c r="A42" s="61" t="s">
        <v>44</v>
      </c>
      <c r="B42" s="61" t="s">
        <v>45</v>
      </c>
      <c r="C42" s="62">
        <v>23272000</v>
      </c>
      <c r="D42" s="62">
        <v>18343586</v>
      </c>
      <c r="E42" s="63">
        <f t="shared" si="0"/>
        <v>0.7882255929872809</v>
      </c>
      <c r="F42" s="64">
        <v>0.95101409419044347</v>
      </c>
    </row>
    <row r="43" spans="1:6">
      <c r="A43" s="61" t="s">
        <v>46</v>
      </c>
      <c r="B43" s="61" t="s">
        <v>47</v>
      </c>
      <c r="C43" s="62">
        <v>16952000</v>
      </c>
      <c r="D43" s="62">
        <v>15793586</v>
      </c>
      <c r="E43" s="63">
        <f t="shared" si="0"/>
        <v>0.93166505427088253</v>
      </c>
      <c r="F43" s="64">
        <v>0.93275129778197263</v>
      </c>
    </row>
    <row r="44" spans="1:6">
      <c r="A44" s="61" t="s">
        <v>141</v>
      </c>
      <c r="B44" s="61" t="s">
        <v>142</v>
      </c>
      <c r="C44" s="62">
        <v>6320000</v>
      </c>
      <c r="D44" s="62">
        <v>2550000</v>
      </c>
      <c r="E44" s="63">
        <f t="shared" si="0"/>
        <v>0.40348101265822783</v>
      </c>
      <c r="F44" s="64">
        <v>1</v>
      </c>
    </row>
    <row r="45" spans="1:6">
      <c r="A45" s="61"/>
      <c r="B45" s="61" t="s">
        <v>144</v>
      </c>
      <c r="C45" s="62">
        <v>109048100</v>
      </c>
      <c r="D45" s="62" t="s">
        <v>318</v>
      </c>
      <c r="E45" s="63">
        <f t="shared" si="0"/>
        <v>0</v>
      </c>
      <c r="F45" s="64">
        <v>1</v>
      </c>
    </row>
    <row r="46" spans="1:6">
      <c r="A46" s="61"/>
      <c r="B46" s="61" t="s">
        <v>146</v>
      </c>
      <c r="C46" s="62">
        <v>109048100</v>
      </c>
      <c r="D46" s="62" t="s">
        <v>318</v>
      </c>
      <c r="E46" s="63">
        <f t="shared" si="0"/>
        <v>0</v>
      </c>
      <c r="F46" s="64">
        <v>1</v>
      </c>
    </row>
    <row r="47" spans="1:6">
      <c r="A47" s="61" t="s">
        <v>149</v>
      </c>
      <c r="B47" s="61" t="s">
        <v>150</v>
      </c>
      <c r="C47" s="62">
        <v>109048100</v>
      </c>
      <c r="D47" s="62" t="s">
        <v>318</v>
      </c>
      <c r="E47" s="63">
        <f t="shared" si="0"/>
        <v>0</v>
      </c>
      <c r="F47" s="64">
        <v>1</v>
      </c>
    </row>
    <row r="48" spans="1:6">
      <c r="A48" s="61" t="s">
        <v>151</v>
      </c>
      <c r="B48" s="61" t="s">
        <v>152</v>
      </c>
      <c r="C48" s="62">
        <v>140000</v>
      </c>
      <c r="D48" s="62" t="s">
        <v>318</v>
      </c>
      <c r="E48" s="63">
        <f t="shared" si="0"/>
        <v>0</v>
      </c>
      <c r="F48" s="64">
        <v>1</v>
      </c>
    </row>
    <row r="49" spans="1:6">
      <c r="A49" s="61" t="s">
        <v>153</v>
      </c>
      <c r="B49" s="61" t="s">
        <v>154</v>
      </c>
      <c r="C49" s="62">
        <v>140000</v>
      </c>
      <c r="D49" s="62" t="s">
        <v>318</v>
      </c>
      <c r="E49" s="63">
        <f t="shared" si="0"/>
        <v>0</v>
      </c>
      <c r="F49" s="64">
        <v>1</v>
      </c>
    </row>
    <row r="50" spans="1:6">
      <c r="A50" s="61" t="s">
        <v>155</v>
      </c>
      <c r="B50" s="61" t="s">
        <v>156</v>
      </c>
      <c r="C50" s="62">
        <v>140000</v>
      </c>
      <c r="D50" s="62" t="s">
        <v>318</v>
      </c>
      <c r="E50" s="63">
        <f t="shared" si="0"/>
        <v>0</v>
      </c>
      <c r="F50" s="64">
        <v>1</v>
      </c>
    </row>
    <row r="51" spans="1:6">
      <c r="A51" s="61" t="s">
        <v>157</v>
      </c>
      <c r="B51" s="61" t="s">
        <v>158</v>
      </c>
      <c r="C51" s="62">
        <v>108908100</v>
      </c>
      <c r="D51" s="62" t="s">
        <v>318</v>
      </c>
      <c r="E51" s="63">
        <f t="shared" si="0"/>
        <v>0</v>
      </c>
      <c r="F51" s="64">
        <v>1</v>
      </c>
    </row>
    <row r="52" spans="1:6">
      <c r="A52" s="61" t="s">
        <v>159</v>
      </c>
      <c r="B52" s="61" t="s">
        <v>160</v>
      </c>
      <c r="C52" s="62">
        <v>108908100</v>
      </c>
      <c r="D52" s="62" t="s">
        <v>318</v>
      </c>
      <c r="E52" s="63">
        <f t="shared" si="0"/>
        <v>0</v>
      </c>
      <c r="F52" s="64">
        <v>1</v>
      </c>
    </row>
    <row r="53" spans="1:6">
      <c r="A53" s="61" t="s">
        <v>161</v>
      </c>
      <c r="B53" s="61" t="s">
        <v>162</v>
      </c>
      <c r="C53" s="62">
        <v>108908100</v>
      </c>
      <c r="D53" s="62" t="s">
        <v>318</v>
      </c>
      <c r="E53" s="63">
        <f t="shared" si="0"/>
        <v>0</v>
      </c>
      <c r="F53" s="64">
        <v>1</v>
      </c>
    </row>
    <row r="54" spans="1:6">
      <c r="A54" s="61"/>
      <c r="B54" s="61" t="s">
        <v>164</v>
      </c>
      <c r="C54" s="62">
        <v>487837200</v>
      </c>
      <c r="D54" s="62">
        <v>252431030</v>
      </c>
      <c r="E54" s="63">
        <f t="shared" si="0"/>
        <v>0.51744932530770515</v>
      </c>
      <c r="F54" s="64">
        <v>1</v>
      </c>
    </row>
    <row r="55" spans="1:6">
      <c r="A55" s="61"/>
      <c r="B55" s="61" t="s">
        <v>166</v>
      </c>
      <c r="C55" s="62">
        <v>90000000</v>
      </c>
      <c r="D55" s="62">
        <v>38231030</v>
      </c>
      <c r="E55" s="63">
        <f t="shared" si="0"/>
        <v>0.42478922222222221</v>
      </c>
      <c r="F55" s="64">
        <v>0.61951174285191868</v>
      </c>
    </row>
    <row r="56" spans="1:6">
      <c r="A56" s="61" t="s">
        <v>24</v>
      </c>
      <c r="B56" s="61" t="s">
        <v>25</v>
      </c>
      <c r="C56" s="62">
        <v>90000000</v>
      </c>
      <c r="D56" s="62">
        <v>38231030</v>
      </c>
      <c r="E56" s="63">
        <f t="shared" si="0"/>
        <v>0.42478922222222221</v>
      </c>
      <c r="F56" s="64">
        <v>0.58333333333333337</v>
      </c>
    </row>
    <row r="57" spans="1:6">
      <c r="A57" s="61" t="s">
        <v>36</v>
      </c>
      <c r="B57" s="61" t="s">
        <v>37</v>
      </c>
      <c r="C57" s="62">
        <v>90000000</v>
      </c>
      <c r="D57" s="62">
        <v>38231030</v>
      </c>
      <c r="E57" s="63">
        <f t="shared" si="0"/>
        <v>0.42478922222222221</v>
      </c>
      <c r="F57" s="64">
        <v>0.58333333333333337</v>
      </c>
    </row>
    <row r="58" spans="1:6">
      <c r="A58" s="61" t="s">
        <v>38</v>
      </c>
      <c r="B58" s="61" t="s">
        <v>39</v>
      </c>
      <c r="C58" s="62">
        <v>90000000</v>
      </c>
      <c r="D58" s="62">
        <v>38231030</v>
      </c>
      <c r="E58" s="63">
        <f t="shared" si="0"/>
        <v>0.42478922222222221</v>
      </c>
      <c r="F58" s="64">
        <v>0.58333333333333337</v>
      </c>
    </row>
    <row r="59" spans="1:6">
      <c r="A59" s="61" t="s">
        <v>167</v>
      </c>
      <c r="B59" s="61" t="s">
        <v>168</v>
      </c>
      <c r="C59" s="62">
        <v>1200000</v>
      </c>
      <c r="D59" s="62">
        <v>439600</v>
      </c>
      <c r="E59" s="63">
        <f t="shared" si="0"/>
        <v>0.36633333333333334</v>
      </c>
      <c r="F59" s="64">
        <v>0.58333333333333337</v>
      </c>
    </row>
    <row r="60" spans="1:6">
      <c r="A60" s="61" t="s">
        <v>169</v>
      </c>
      <c r="B60" s="61" t="s">
        <v>170</v>
      </c>
      <c r="C60" s="62">
        <v>24000000</v>
      </c>
      <c r="D60" s="62">
        <v>7480000</v>
      </c>
      <c r="E60" s="63">
        <f t="shared" si="0"/>
        <v>0.31166666666666665</v>
      </c>
      <c r="F60" s="64">
        <v>0.58333333333333337</v>
      </c>
    </row>
    <row r="61" spans="1:6">
      <c r="A61" s="61" t="s">
        <v>171</v>
      </c>
      <c r="B61" s="61" t="s">
        <v>172</v>
      </c>
      <c r="C61" s="62">
        <v>64800000</v>
      </c>
      <c r="D61" s="62">
        <v>30311430</v>
      </c>
      <c r="E61" s="63">
        <f t="shared" si="0"/>
        <v>0.46776898148148149</v>
      </c>
      <c r="F61" s="64">
        <v>0.58333333333333337</v>
      </c>
    </row>
    <row r="62" spans="1:6">
      <c r="A62" s="61"/>
      <c r="B62" s="61" t="s">
        <v>174</v>
      </c>
      <c r="C62" s="62">
        <v>3000000</v>
      </c>
      <c r="D62" s="62" t="s">
        <v>318</v>
      </c>
      <c r="E62" s="63">
        <f t="shared" si="0"/>
        <v>0</v>
      </c>
      <c r="F62" s="64">
        <v>0.58333333333333337</v>
      </c>
    </row>
    <row r="63" spans="1:6">
      <c r="A63" s="61" t="s">
        <v>24</v>
      </c>
      <c r="B63" s="61" t="s">
        <v>25</v>
      </c>
      <c r="C63" s="62">
        <v>3000000</v>
      </c>
      <c r="D63" s="62" t="s">
        <v>318</v>
      </c>
      <c r="E63" s="63">
        <f t="shared" si="0"/>
        <v>0</v>
      </c>
      <c r="F63" s="64">
        <v>1</v>
      </c>
    </row>
    <row r="64" spans="1:6">
      <c r="A64" s="61" t="s">
        <v>175</v>
      </c>
      <c r="B64" s="61" t="s">
        <v>176</v>
      </c>
      <c r="C64" s="62">
        <v>3000000</v>
      </c>
      <c r="D64" s="62" t="s">
        <v>318</v>
      </c>
      <c r="E64" s="63">
        <f t="shared" si="0"/>
        <v>0</v>
      </c>
      <c r="F64" s="64">
        <v>1</v>
      </c>
    </row>
    <row r="65" spans="1:6">
      <c r="A65" s="61" t="s">
        <v>177</v>
      </c>
      <c r="B65" s="61" t="s">
        <v>178</v>
      </c>
      <c r="C65" s="62">
        <v>3000000</v>
      </c>
      <c r="D65" s="62" t="s">
        <v>318</v>
      </c>
      <c r="E65" s="63">
        <f t="shared" si="0"/>
        <v>0</v>
      </c>
      <c r="F65" s="64">
        <v>1</v>
      </c>
    </row>
    <row r="66" spans="1:6">
      <c r="A66" s="61" t="s">
        <v>179</v>
      </c>
      <c r="B66" s="61" t="s">
        <v>180</v>
      </c>
      <c r="C66" s="62">
        <v>3000000</v>
      </c>
      <c r="D66" s="62" t="s">
        <v>318</v>
      </c>
      <c r="E66" s="63">
        <f t="shared" ref="E66:E108" si="1">D66/C66*100%</f>
        <v>0</v>
      </c>
      <c r="F66" s="64">
        <v>1</v>
      </c>
    </row>
    <row r="67" spans="1:6">
      <c r="A67" s="61"/>
      <c r="B67" s="61" t="s">
        <v>182</v>
      </c>
      <c r="C67" s="62">
        <v>394837200</v>
      </c>
      <c r="D67" s="62">
        <v>214200000</v>
      </c>
      <c r="E67" s="63">
        <f t="shared" si="1"/>
        <v>0.54250207427263697</v>
      </c>
      <c r="F67" s="64">
        <v>1</v>
      </c>
    </row>
    <row r="68" spans="1:6">
      <c r="A68" s="61" t="s">
        <v>24</v>
      </c>
      <c r="B68" s="61" t="s">
        <v>25</v>
      </c>
      <c r="C68" s="62">
        <v>394837200</v>
      </c>
      <c r="D68" s="62">
        <v>214200000</v>
      </c>
      <c r="E68" s="63">
        <f t="shared" si="1"/>
        <v>0.54250207427263697</v>
      </c>
      <c r="F68" s="64">
        <v>0.6248673478588137</v>
      </c>
    </row>
    <row r="69" spans="1:6">
      <c r="A69" s="61" t="s">
        <v>26</v>
      </c>
      <c r="B69" s="61" t="s">
        <v>27</v>
      </c>
      <c r="C69" s="62">
        <v>7337200</v>
      </c>
      <c r="D69" s="62" t="s">
        <v>318</v>
      </c>
      <c r="E69" s="63">
        <f t="shared" si="1"/>
        <v>0</v>
      </c>
      <c r="F69" s="64">
        <v>0.6248673478588137</v>
      </c>
    </row>
    <row r="70" spans="1:6">
      <c r="A70" s="61" t="s">
        <v>28</v>
      </c>
      <c r="B70" s="61" t="s">
        <v>29</v>
      </c>
      <c r="C70" s="62">
        <v>7337200</v>
      </c>
      <c r="D70" s="62" t="s">
        <v>318</v>
      </c>
      <c r="E70" s="63">
        <f t="shared" si="1"/>
        <v>0</v>
      </c>
      <c r="F70" s="64">
        <v>0.98414572316414983</v>
      </c>
    </row>
    <row r="71" spans="1:6">
      <c r="A71" s="61" t="s">
        <v>30</v>
      </c>
      <c r="B71" s="61" t="s">
        <v>31</v>
      </c>
      <c r="C71" s="62">
        <v>3974000</v>
      </c>
      <c r="D71" s="62" t="s">
        <v>318</v>
      </c>
      <c r="E71" s="63">
        <f t="shared" si="1"/>
        <v>0</v>
      </c>
      <c r="F71" s="64">
        <v>0.98414572316414983</v>
      </c>
    </row>
    <row r="72" spans="1:6">
      <c r="A72" s="61" t="s">
        <v>32</v>
      </c>
      <c r="B72" s="61" t="s">
        <v>33</v>
      </c>
      <c r="C72" s="62">
        <v>2639000</v>
      </c>
      <c r="D72" s="62" t="s">
        <v>318</v>
      </c>
      <c r="E72" s="63">
        <f t="shared" si="1"/>
        <v>0</v>
      </c>
      <c r="F72" s="64">
        <v>0.97072823351786608</v>
      </c>
    </row>
    <row r="73" spans="1:6">
      <c r="A73" s="61" t="s">
        <v>34</v>
      </c>
      <c r="B73" s="61" t="s">
        <v>35</v>
      </c>
      <c r="C73" s="62">
        <v>724200</v>
      </c>
      <c r="D73" s="62" t="s">
        <v>318</v>
      </c>
      <c r="E73" s="63">
        <f t="shared" si="1"/>
        <v>0</v>
      </c>
      <c r="F73" s="64">
        <v>1</v>
      </c>
    </row>
    <row r="74" spans="1:6">
      <c r="A74" s="61" t="s">
        <v>36</v>
      </c>
      <c r="B74" s="61" t="s">
        <v>37</v>
      </c>
      <c r="C74" s="62">
        <v>387500000</v>
      </c>
      <c r="D74" s="62">
        <v>214200000</v>
      </c>
      <c r="E74" s="63">
        <f t="shared" si="1"/>
        <v>0.55277419354838708</v>
      </c>
      <c r="F74" s="64">
        <v>1</v>
      </c>
    </row>
    <row r="75" spans="1:6">
      <c r="A75" s="61" t="s">
        <v>38</v>
      </c>
      <c r="B75" s="61" t="s">
        <v>39</v>
      </c>
      <c r="C75" s="62">
        <v>387500000</v>
      </c>
      <c r="D75" s="62">
        <v>214200000</v>
      </c>
      <c r="E75" s="63">
        <f t="shared" si="1"/>
        <v>0.55277419354838708</v>
      </c>
      <c r="F75" s="64">
        <v>0.61806451612903224</v>
      </c>
    </row>
    <row r="76" spans="1:6">
      <c r="A76" s="61" t="s">
        <v>183</v>
      </c>
      <c r="B76" s="61" t="s">
        <v>184</v>
      </c>
      <c r="C76" s="62">
        <v>44000000</v>
      </c>
      <c r="D76" s="62">
        <v>14300000</v>
      </c>
      <c r="E76" s="63">
        <f t="shared" si="1"/>
        <v>0.32500000000000001</v>
      </c>
      <c r="F76" s="64">
        <v>0.61806451612903224</v>
      </c>
    </row>
    <row r="77" spans="1:6">
      <c r="A77" s="61" t="s">
        <v>185</v>
      </c>
      <c r="B77" s="61" t="s">
        <v>186</v>
      </c>
      <c r="C77" s="62">
        <v>22000000</v>
      </c>
      <c r="D77" s="62">
        <v>8800000</v>
      </c>
      <c r="E77" s="63">
        <f t="shared" si="1"/>
        <v>0.4</v>
      </c>
      <c r="F77" s="64">
        <v>0.5</v>
      </c>
    </row>
    <row r="78" spans="1:6">
      <c r="A78" s="61" t="s">
        <v>187</v>
      </c>
      <c r="B78" s="61" t="s">
        <v>188</v>
      </c>
      <c r="C78" s="62">
        <v>22000000</v>
      </c>
      <c r="D78" s="62">
        <v>8800000</v>
      </c>
      <c r="E78" s="63">
        <f t="shared" si="1"/>
        <v>0.4</v>
      </c>
      <c r="F78" s="64">
        <v>0.5</v>
      </c>
    </row>
    <row r="79" spans="1:6">
      <c r="A79" s="61" t="s">
        <v>40</v>
      </c>
      <c r="B79" s="61" t="s">
        <v>41</v>
      </c>
      <c r="C79" s="62">
        <v>1200000</v>
      </c>
      <c r="D79" s="62" t="s">
        <v>318</v>
      </c>
      <c r="E79" s="63">
        <f t="shared" si="1"/>
        <v>0</v>
      </c>
      <c r="F79" s="64">
        <v>0.5</v>
      </c>
    </row>
    <row r="80" spans="1:6">
      <c r="A80" s="61" t="s">
        <v>189</v>
      </c>
      <c r="B80" s="61" t="s">
        <v>190</v>
      </c>
      <c r="C80" s="62">
        <v>8600000</v>
      </c>
      <c r="D80" s="62">
        <v>7600000</v>
      </c>
      <c r="E80" s="63">
        <f t="shared" si="1"/>
        <v>0.88372093023255816</v>
      </c>
      <c r="F80" s="64">
        <v>1</v>
      </c>
    </row>
    <row r="81" spans="1:6">
      <c r="A81" s="61" t="s">
        <v>191</v>
      </c>
      <c r="B81" s="61" t="s">
        <v>192</v>
      </c>
      <c r="C81" s="62">
        <v>26000000</v>
      </c>
      <c r="D81" s="62">
        <v>16000000</v>
      </c>
      <c r="E81" s="63">
        <f t="shared" si="1"/>
        <v>0.61538461538461542</v>
      </c>
      <c r="F81" s="64">
        <v>1</v>
      </c>
    </row>
    <row r="82" spans="1:6">
      <c r="A82" s="61" t="s">
        <v>193</v>
      </c>
      <c r="B82" s="61" t="s">
        <v>194</v>
      </c>
      <c r="C82" s="62">
        <v>148600000</v>
      </c>
      <c r="D82" s="62">
        <v>88100000</v>
      </c>
      <c r="E82" s="63">
        <f t="shared" si="1"/>
        <v>0.59286675639300135</v>
      </c>
      <c r="F82" s="64">
        <v>0.61538461538461542</v>
      </c>
    </row>
    <row r="83" spans="1:6">
      <c r="A83" s="61" t="s">
        <v>195</v>
      </c>
      <c r="B83" s="61" t="s">
        <v>196</v>
      </c>
      <c r="C83" s="62">
        <v>30800000</v>
      </c>
      <c r="D83" s="62">
        <v>18800000</v>
      </c>
      <c r="E83" s="63">
        <f t="shared" si="1"/>
        <v>0.61038961038961037</v>
      </c>
      <c r="F83" s="64">
        <v>0.66689098250336476</v>
      </c>
    </row>
    <row r="84" spans="1:6">
      <c r="A84" s="61" t="s">
        <v>197</v>
      </c>
      <c r="B84" s="61" t="s">
        <v>198</v>
      </c>
      <c r="C84" s="62">
        <v>84300000</v>
      </c>
      <c r="D84" s="62">
        <v>51800000</v>
      </c>
      <c r="E84" s="63">
        <f t="shared" si="1"/>
        <v>0.61447212336892054</v>
      </c>
      <c r="F84" s="64">
        <v>0.61038961038961037</v>
      </c>
    </row>
    <row r="85" spans="1:6">
      <c r="A85" s="61"/>
      <c r="B85" s="61" t="s">
        <v>200</v>
      </c>
      <c r="C85" s="62">
        <v>249610000</v>
      </c>
      <c r="D85" s="62">
        <v>89694976</v>
      </c>
      <c r="E85" s="63">
        <f t="shared" si="1"/>
        <v>0.35934047514122031</v>
      </c>
      <c r="F85" s="64">
        <v>0.61447212336892054</v>
      </c>
    </row>
    <row r="86" spans="1:6">
      <c r="A86" s="61"/>
      <c r="B86" s="61" t="s">
        <v>202</v>
      </c>
      <c r="C86" s="62">
        <v>210320000</v>
      </c>
      <c r="D86" s="62">
        <v>89694976</v>
      </c>
      <c r="E86" s="63">
        <f t="shared" si="1"/>
        <v>0.4264690756941803</v>
      </c>
      <c r="F86" s="64">
        <v>0.67000520812467446</v>
      </c>
    </row>
    <row r="87" spans="1:6">
      <c r="A87" s="61" t="s">
        <v>24</v>
      </c>
      <c r="B87" s="61" t="s">
        <v>25</v>
      </c>
      <c r="C87" s="62">
        <v>210320000</v>
      </c>
      <c r="D87" s="62">
        <v>89694976</v>
      </c>
      <c r="E87" s="63">
        <f t="shared" si="1"/>
        <v>0.4264690756941803</v>
      </c>
      <c r="F87" s="64">
        <v>0.60835869151768729</v>
      </c>
    </row>
    <row r="88" spans="1:6">
      <c r="A88" s="61" t="s">
        <v>36</v>
      </c>
      <c r="B88" s="61" t="s">
        <v>37</v>
      </c>
      <c r="C88" s="62">
        <v>25870000</v>
      </c>
      <c r="D88" s="62">
        <v>1115324</v>
      </c>
      <c r="E88" s="63">
        <f t="shared" si="1"/>
        <v>4.3112640123695402E-2</v>
      </c>
      <c r="F88" s="64">
        <v>0.60835869151768729</v>
      </c>
    </row>
    <row r="89" spans="1:6">
      <c r="A89" s="61" t="s">
        <v>38</v>
      </c>
      <c r="B89" s="61" t="s">
        <v>39</v>
      </c>
      <c r="C89" s="62">
        <v>25870000</v>
      </c>
      <c r="D89" s="62">
        <v>1115324</v>
      </c>
      <c r="E89" s="63">
        <f t="shared" si="1"/>
        <v>4.3112640123695402E-2</v>
      </c>
      <c r="F89" s="64">
        <v>0.7730962504831852</v>
      </c>
    </row>
    <row r="90" spans="1:6">
      <c r="A90" s="61" t="s">
        <v>203</v>
      </c>
      <c r="B90" s="61" t="s">
        <v>204</v>
      </c>
      <c r="C90" s="62">
        <v>25870000</v>
      </c>
      <c r="D90" s="62">
        <v>1115324</v>
      </c>
      <c r="E90" s="63">
        <f t="shared" si="1"/>
        <v>4.3112640123695402E-2</v>
      </c>
      <c r="F90" s="64">
        <v>0.7730962504831852</v>
      </c>
    </row>
    <row r="91" spans="1:6">
      <c r="A91" s="61" t="s">
        <v>205</v>
      </c>
      <c r="B91" s="61" t="s">
        <v>206</v>
      </c>
      <c r="C91" s="62">
        <v>184450000</v>
      </c>
      <c r="D91" s="62">
        <v>88579652</v>
      </c>
      <c r="E91" s="63">
        <f t="shared" si="1"/>
        <v>0.48023666034155599</v>
      </c>
      <c r="F91" s="64">
        <v>0.7730962504831852</v>
      </c>
    </row>
    <row r="92" spans="1:6">
      <c r="A92" s="61" t="s">
        <v>207</v>
      </c>
      <c r="B92" s="61" t="s">
        <v>208</v>
      </c>
      <c r="C92" s="62">
        <v>184450000</v>
      </c>
      <c r="D92" s="62">
        <v>88579652</v>
      </c>
      <c r="E92" s="63">
        <f t="shared" si="1"/>
        <v>0.48023666034155599</v>
      </c>
      <c r="F92" s="64">
        <v>0.58525345622119818</v>
      </c>
    </row>
    <row r="93" spans="1:6">
      <c r="A93" s="61" t="s">
        <v>209</v>
      </c>
      <c r="B93" s="61" t="s">
        <v>210</v>
      </c>
      <c r="C93" s="62">
        <v>173350000</v>
      </c>
      <c r="D93" s="62">
        <v>83431000</v>
      </c>
      <c r="E93" s="63">
        <f t="shared" si="1"/>
        <v>0.48128641476781081</v>
      </c>
      <c r="F93" s="64">
        <v>0.58525345622119818</v>
      </c>
    </row>
    <row r="94" spans="1:6">
      <c r="A94" s="61" t="s">
        <v>211</v>
      </c>
      <c r="B94" s="61" t="s">
        <v>212</v>
      </c>
      <c r="C94" s="62">
        <v>11100000</v>
      </c>
      <c r="D94" s="62">
        <v>5148652</v>
      </c>
      <c r="E94" s="63">
        <f t="shared" si="1"/>
        <v>0.4638425225225225</v>
      </c>
      <c r="F94" s="64">
        <v>0.58465532160369194</v>
      </c>
    </row>
    <row r="95" spans="1:6">
      <c r="A95" s="61"/>
      <c r="B95" s="61" t="s">
        <v>214</v>
      </c>
      <c r="C95" s="62">
        <v>29290000</v>
      </c>
      <c r="D95" s="62" t="s">
        <v>318</v>
      </c>
      <c r="E95" s="63">
        <f t="shared" si="1"/>
        <v>0</v>
      </c>
      <c r="F95" s="64">
        <v>0.59459459459459463</v>
      </c>
    </row>
    <row r="96" spans="1:6">
      <c r="A96" s="61" t="s">
        <v>24</v>
      </c>
      <c r="B96" s="61" t="s">
        <v>25</v>
      </c>
      <c r="C96" s="62">
        <v>29290000</v>
      </c>
      <c r="D96" s="62" t="s">
        <v>318</v>
      </c>
      <c r="E96" s="63">
        <f t="shared" si="1"/>
        <v>0</v>
      </c>
      <c r="F96" s="64">
        <v>1</v>
      </c>
    </row>
    <row r="97" spans="1:6">
      <c r="A97" s="61" t="s">
        <v>205</v>
      </c>
      <c r="B97" s="61" t="s">
        <v>206</v>
      </c>
      <c r="C97" s="62">
        <v>29290000</v>
      </c>
      <c r="D97" s="62" t="s">
        <v>318</v>
      </c>
      <c r="E97" s="63">
        <f t="shared" si="1"/>
        <v>0</v>
      </c>
      <c r="F97" s="64">
        <v>1</v>
      </c>
    </row>
    <row r="98" spans="1:6">
      <c r="A98" s="61" t="s">
        <v>207</v>
      </c>
      <c r="B98" s="61" t="s">
        <v>208</v>
      </c>
      <c r="C98" s="62">
        <v>29290000</v>
      </c>
      <c r="D98" s="62" t="s">
        <v>318</v>
      </c>
      <c r="E98" s="63">
        <f t="shared" si="1"/>
        <v>0</v>
      </c>
      <c r="F98" s="64">
        <v>1</v>
      </c>
    </row>
    <row r="99" spans="1:6">
      <c r="A99" s="61" t="s">
        <v>215</v>
      </c>
      <c r="B99" s="61" t="s">
        <v>216</v>
      </c>
      <c r="C99" s="62">
        <v>7190000</v>
      </c>
      <c r="D99" s="62" t="s">
        <v>318</v>
      </c>
      <c r="E99" s="63">
        <f t="shared" si="1"/>
        <v>0</v>
      </c>
      <c r="F99" s="64">
        <v>1</v>
      </c>
    </row>
    <row r="100" spans="1:6">
      <c r="A100" s="61" t="s">
        <v>217</v>
      </c>
      <c r="B100" s="61" t="s">
        <v>218</v>
      </c>
      <c r="C100" s="62">
        <v>500000</v>
      </c>
      <c r="D100" s="62" t="s">
        <v>318</v>
      </c>
      <c r="E100" s="63">
        <f t="shared" si="1"/>
        <v>0</v>
      </c>
      <c r="F100" s="64">
        <v>1</v>
      </c>
    </row>
    <row r="101" spans="1:6">
      <c r="A101" s="61" t="s">
        <v>219</v>
      </c>
      <c r="B101" s="61" t="s">
        <v>220</v>
      </c>
      <c r="C101" s="62">
        <v>10500000</v>
      </c>
      <c r="D101" s="62" t="s">
        <v>318</v>
      </c>
      <c r="E101" s="63">
        <f t="shared" si="1"/>
        <v>0</v>
      </c>
      <c r="F101" s="64">
        <v>1</v>
      </c>
    </row>
    <row r="102" spans="1:6">
      <c r="A102" s="61" t="s">
        <v>221</v>
      </c>
      <c r="B102" s="61" t="s">
        <v>222</v>
      </c>
      <c r="C102" s="62">
        <v>10000000</v>
      </c>
      <c r="D102" s="62" t="s">
        <v>318</v>
      </c>
      <c r="E102" s="63">
        <f t="shared" si="1"/>
        <v>0</v>
      </c>
      <c r="F102" s="64">
        <v>1</v>
      </c>
    </row>
    <row r="103" spans="1:6">
      <c r="A103" s="61" t="s">
        <v>223</v>
      </c>
      <c r="B103" s="61" t="s">
        <v>224</v>
      </c>
      <c r="C103" s="62">
        <v>1100000</v>
      </c>
      <c r="D103" s="62" t="s">
        <v>318</v>
      </c>
      <c r="E103" s="63">
        <f t="shared" si="1"/>
        <v>0</v>
      </c>
      <c r="F103" s="64">
        <v>1</v>
      </c>
    </row>
    <row r="104" spans="1:6">
      <c r="A104" s="61"/>
      <c r="B104" s="61" t="s">
        <v>226</v>
      </c>
      <c r="C104" s="62">
        <v>10000000</v>
      </c>
      <c r="D104" s="62" t="s">
        <v>318</v>
      </c>
      <c r="E104" s="63">
        <f t="shared" si="1"/>
        <v>0</v>
      </c>
      <c r="F104" s="64">
        <v>1</v>
      </c>
    </row>
    <row r="105" spans="1:6">
      <c r="A105" s="61" t="s">
        <v>24</v>
      </c>
      <c r="B105" s="61" t="s">
        <v>25</v>
      </c>
      <c r="C105" s="62">
        <v>10000000</v>
      </c>
      <c r="D105" s="62" t="s">
        <v>318</v>
      </c>
      <c r="E105" s="63">
        <f t="shared" si="1"/>
        <v>0</v>
      </c>
      <c r="F105" s="64">
        <v>1</v>
      </c>
    </row>
    <row r="106" spans="1:6">
      <c r="A106" s="61" t="s">
        <v>205</v>
      </c>
      <c r="B106" s="61" t="s">
        <v>206</v>
      </c>
      <c r="C106" s="62">
        <v>10000000</v>
      </c>
      <c r="D106" s="62" t="s">
        <v>318</v>
      </c>
      <c r="E106" s="63">
        <f t="shared" si="1"/>
        <v>0</v>
      </c>
      <c r="F106" s="64">
        <v>1</v>
      </c>
    </row>
    <row r="107" spans="1:6">
      <c r="A107" s="61" t="s">
        <v>227</v>
      </c>
      <c r="B107" s="61" t="s">
        <v>228</v>
      </c>
      <c r="C107" s="62">
        <v>10000000</v>
      </c>
      <c r="D107" s="62" t="s">
        <v>318</v>
      </c>
      <c r="E107" s="63">
        <f t="shared" si="1"/>
        <v>0</v>
      </c>
      <c r="F107" s="64">
        <v>1</v>
      </c>
    </row>
    <row r="108" spans="1:6">
      <c r="A108" s="61" t="s">
        <v>229</v>
      </c>
      <c r="B108" s="61" t="s">
        <v>230</v>
      </c>
      <c r="C108" s="62">
        <v>10000000</v>
      </c>
      <c r="D108" s="62" t="s">
        <v>318</v>
      </c>
      <c r="E108" s="63">
        <f t="shared" si="1"/>
        <v>0</v>
      </c>
      <c r="F108" s="64">
        <v>1</v>
      </c>
    </row>
    <row r="109" spans="1:6">
      <c r="F109" s="64">
        <v>1</v>
      </c>
    </row>
  </sheetData>
  <pageMargins left="0.7" right="0.7" top="0.75" bottom="0.75" header="0.3" footer="0.3"/>
  <pageSetup paperSize="9" scale="39" orientation="portrait" horizontalDpi="0" verticalDpi="0" r:id="rId1"/>
  <rowBreaks count="1" manualBreakCount="1">
    <brk id="5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B286-5950-4DAE-9757-E2550DE0E2E9}">
  <dimension ref="A1:F54"/>
  <sheetViews>
    <sheetView view="pageBreakPreview" zoomScale="60" zoomScaleNormal="100" workbookViewId="0">
      <selection activeCell="C34" sqref="C34"/>
    </sheetView>
  </sheetViews>
  <sheetFormatPr defaultColWidth="9.23046875" defaultRowHeight="20.6"/>
  <cols>
    <col min="1" max="1" width="18.765625" style="65" bestFit="1" customWidth="1"/>
    <col min="2" max="2" width="78.84375" style="65" bestFit="1" customWidth="1"/>
    <col min="3" max="3" width="25.4609375" style="65" customWidth="1"/>
    <col min="4" max="4" width="22.69140625" style="65" customWidth="1"/>
    <col min="5" max="5" width="23.07421875" style="66" customWidth="1"/>
    <col min="6" max="6" width="35.84375" style="67" customWidth="1"/>
    <col min="7" max="16384" width="9.23046875" style="65"/>
  </cols>
  <sheetData>
    <row r="1" spans="1:6">
      <c r="A1" s="139"/>
      <c r="B1" s="139" t="s">
        <v>322</v>
      </c>
      <c r="C1" s="139" t="s">
        <v>323</v>
      </c>
      <c r="D1" s="139" t="s">
        <v>324</v>
      </c>
      <c r="E1" s="140" t="s">
        <v>325</v>
      </c>
      <c r="F1" s="141" t="s">
        <v>326</v>
      </c>
    </row>
    <row r="2" spans="1:6">
      <c r="A2" s="135"/>
      <c r="B2" s="135" t="s">
        <v>236</v>
      </c>
      <c r="C2" s="136">
        <v>3038000000</v>
      </c>
      <c r="D2" s="136">
        <v>1513643285</v>
      </c>
      <c r="E2" s="137">
        <f t="shared" ref="E2:E54" si="0">D2/C2*100%</f>
        <v>0.49823676267281108</v>
      </c>
      <c r="F2" s="138">
        <v>0.81133683015141544</v>
      </c>
    </row>
    <row r="3" spans="1:6">
      <c r="A3" s="68" t="s">
        <v>24</v>
      </c>
      <c r="B3" s="68" t="s">
        <v>25</v>
      </c>
      <c r="C3" s="69">
        <v>3038000000</v>
      </c>
      <c r="D3" s="69">
        <v>1513643285</v>
      </c>
      <c r="E3" s="70">
        <f t="shared" si="0"/>
        <v>0.49823676267281108</v>
      </c>
      <c r="F3" s="71">
        <v>0.81133683015141544</v>
      </c>
    </row>
    <row r="4" spans="1:6">
      <c r="A4" s="68" t="s">
        <v>26</v>
      </c>
      <c r="B4" s="68" t="s">
        <v>27</v>
      </c>
      <c r="C4" s="69">
        <v>7760000</v>
      </c>
      <c r="D4" s="69">
        <v>4656785</v>
      </c>
      <c r="E4" s="70">
        <f t="shared" si="0"/>
        <v>0.6001011597938144</v>
      </c>
      <c r="F4" s="71">
        <v>0.90682989690721649</v>
      </c>
    </row>
    <row r="5" spans="1:6">
      <c r="A5" s="68" t="s">
        <v>28</v>
      </c>
      <c r="B5" s="68" t="s">
        <v>29</v>
      </c>
      <c r="C5" s="69">
        <v>7760000</v>
      </c>
      <c r="D5" s="69">
        <v>4656785</v>
      </c>
      <c r="E5" s="70">
        <f t="shared" si="0"/>
        <v>0.6001011597938144</v>
      </c>
      <c r="F5" s="71">
        <v>0.90682989690721649</v>
      </c>
    </row>
    <row r="6" spans="1:6">
      <c r="A6" s="68" t="s">
        <v>30</v>
      </c>
      <c r="B6" s="68" t="s">
        <v>31</v>
      </c>
      <c r="C6" s="69">
        <v>3591000</v>
      </c>
      <c r="D6" s="69">
        <v>1934175</v>
      </c>
      <c r="E6" s="70">
        <f t="shared" si="0"/>
        <v>0.53861737677527155</v>
      </c>
      <c r="F6" s="71">
        <v>1</v>
      </c>
    </row>
    <row r="7" spans="1:6">
      <c r="A7" s="68" t="s">
        <v>32</v>
      </c>
      <c r="B7" s="68" t="s">
        <v>33</v>
      </c>
      <c r="C7" s="69">
        <v>2169000</v>
      </c>
      <c r="D7" s="69">
        <v>722610</v>
      </c>
      <c r="E7" s="70">
        <f t="shared" si="0"/>
        <v>0.33315352697095435</v>
      </c>
      <c r="F7" s="71">
        <v>0.66666666666666663</v>
      </c>
    </row>
    <row r="8" spans="1:6">
      <c r="A8" s="68" t="s">
        <v>237</v>
      </c>
      <c r="B8" s="68" t="s">
        <v>238</v>
      </c>
      <c r="C8" s="69">
        <v>2000000</v>
      </c>
      <c r="D8" s="69">
        <v>2000000</v>
      </c>
      <c r="E8" s="70">
        <f t="shared" si="0"/>
        <v>1</v>
      </c>
      <c r="F8" s="71">
        <v>1</v>
      </c>
    </row>
    <row r="9" spans="1:6">
      <c r="A9" s="68" t="s">
        <v>36</v>
      </c>
      <c r="B9" s="68" t="s">
        <v>37</v>
      </c>
      <c r="C9" s="69">
        <v>3030240000</v>
      </c>
      <c r="D9" s="69">
        <v>1508986500</v>
      </c>
      <c r="E9" s="70">
        <f t="shared" si="0"/>
        <v>0.4979759028987803</v>
      </c>
      <c r="F9" s="71">
        <v>0.81109228641955755</v>
      </c>
    </row>
    <row r="10" spans="1:6">
      <c r="A10" s="68" t="s">
        <v>38</v>
      </c>
      <c r="B10" s="68" t="s">
        <v>39</v>
      </c>
      <c r="C10" s="69">
        <v>3030240000</v>
      </c>
      <c r="D10" s="69">
        <v>1508986500</v>
      </c>
      <c r="E10" s="70">
        <f t="shared" si="0"/>
        <v>0.4979759028987803</v>
      </c>
      <c r="F10" s="71">
        <v>0.81109228641955755</v>
      </c>
    </row>
    <row r="11" spans="1:6">
      <c r="A11" s="68" t="s">
        <v>239</v>
      </c>
      <c r="B11" s="68" t="s">
        <v>240</v>
      </c>
      <c r="C11" s="69">
        <v>3000000000</v>
      </c>
      <c r="D11" s="69">
        <v>1497936500</v>
      </c>
      <c r="E11" s="70">
        <f t="shared" si="0"/>
        <v>0.49931216666666667</v>
      </c>
      <c r="F11" s="71">
        <v>0.81338809666666667</v>
      </c>
    </row>
    <row r="12" spans="1:6">
      <c r="A12" s="68" t="s">
        <v>112</v>
      </c>
      <c r="B12" s="68" t="s">
        <v>113</v>
      </c>
      <c r="C12" s="69">
        <v>30240000</v>
      </c>
      <c r="D12" s="69">
        <v>11050000</v>
      </c>
      <c r="E12" s="70">
        <f t="shared" si="0"/>
        <v>0.36541005291005291</v>
      </c>
      <c r="F12" s="71">
        <v>0.58333333333333337</v>
      </c>
    </row>
    <row r="13" spans="1:6">
      <c r="A13" s="68"/>
      <c r="B13" s="68" t="s">
        <v>242</v>
      </c>
      <c r="C13" s="69">
        <v>1225400</v>
      </c>
      <c r="D13" s="69" t="s">
        <v>318</v>
      </c>
      <c r="E13" s="70">
        <f t="shared" si="0"/>
        <v>0</v>
      </c>
      <c r="F13" s="71">
        <v>0</v>
      </c>
    </row>
    <row r="14" spans="1:6">
      <c r="A14" s="68" t="s">
        <v>24</v>
      </c>
      <c r="B14" s="68" t="s">
        <v>25</v>
      </c>
      <c r="C14" s="69">
        <v>1225400</v>
      </c>
      <c r="D14" s="69" t="s">
        <v>318</v>
      </c>
      <c r="E14" s="70">
        <f t="shared" si="0"/>
        <v>0</v>
      </c>
      <c r="F14" s="71">
        <v>0</v>
      </c>
    </row>
    <row r="15" spans="1:6">
      <c r="A15" s="68" t="s">
        <v>26</v>
      </c>
      <c r="B15" s="68" t="s">
        <v>27</v>
      </c>
      <c r="C15" s="69">
        <v>1225400</v>
      </c>
      <c r="D15" s="69" t="s">
        <v>318</v>
      </c>
      <c r="E15" s="70">
        <f t="shared" si="0"/>
        <v>0</v>
      </c>
      <c r="F15" s="71">
        <v>0</v>
      </c>
    </row>
    <row r="16" spans="1:6">
      <c r="A16" s="68" t="s">
        <v>28</v>
      </c>
      <c r="B16" s="68" t="s">
        <v>29</v>
      </c>
      <c r="C16" s="69">
        <v>1225400</v>
      </c>
      <c r="D16" s="69" t="s">
        <v>318</v>
      </c>
      <c r="E16" s="70">
        <f t="shared" si="0"/>
        <v>0</v>
      </c>
      <c r="F16" s="71">
        <v>0</v>
      </c>
    </row>
    <row r="17" spans="1:6">
      <c r="A17" s="68" t="s">
        <v>32</v>
      </c>
      <c r="B17" s="68" t="s">
        <v>33</v>
      </c>
      <c r="C17" s="69">
        <v>413400</v>
      </c>
      <c r="D17" s="69" t="s">
        <v>318</v>
      </c>
      <c r="E17" s="70">
        <f t="shared" si="0"/>
        <v>0</v>
      </c>
      <c r="F17" s="71">
        <v>0</v>
      </c>
    </row>
    <row r="18" spans="1:6">
      <c r="A18" s="68" t="s">
        <v>34</v>
      </c>
      <c r="B18" s="68" t="s">
        <v>35</v>
      </c>
      <c r="C18" s="69">
        <v>812000</v>
      </c>
      <c r="D18" s="69" t="s">
        <v>318</v>
      </c>
      <c r="E18" s="70">
        <f t="shared" si="0"/>
        <v>0</v>
      </c>
      <c r="F18" s="71">
        <v>0</v>
      </c>
    </row>
    <row r="19" spans="1:6">
      <c r="A19" s="68"/>
      <c r="B19" s="68" t="s">
        <v>244</v>
      </c>
      <c r="C19" s="69">
        <v>380615000</v>
      </c>
      <c r="D19" s="69">
        <v>209248447</v>
      </c>
      <c r="E19" s="70">
        <f t="shared" si="0"/>
        <v>0.54976405816901597</v>
      </c>
      <c r="F19" s="71">
        <v>0.86925108048815736</v>
      </c>
    </row>
    <row r="20" spans="1:6">
      <c r="A20" s="68" t="s">
        <v>24</v>
      </c>
      <c r="B20" s="68" t="s">
        <v>25</v>
      </c>
      <c r="C20" s="69">
        <v>380615000</v>
      </c>
      <c r="D20" s="69">
        <v>209248447</v>
      </c>
      <c r="E20" s="70">
        <f t="shared" si="0"/>
        <v>0.54976405816901597</v>
      </c>
      <c r="F20" s="71">
        <v>0.86925108048815736</v>
      </c>
    </row>
    <row r="21" spans="1:6">
      <c r="A21" s="68" t="s">
        <v>26</v>
      </c>
      <c r="B21" s="68" t="s">
        <v>27</v>
      </c>
      <c r="C21" s="69">
        <v>376115000</v>
      </c>
      <c r="D21" s="69">
        <v>209248447</v>
      </c>
      <c r="E21" s="70">
        <f t="shared" si="0"/>
        <v>0.55634166943620966</v>
      </c>
      <c r="F21" s="71">
        <v>0.87965117051965491</v>
      </c>
    </row>
    <row r="22" spans="1:6">
      <c r="A22" s="68" t="s">
        <v>28</v>
      </c>
      <c r="B22" s="68" t="s">
        <v>29</v>
      </c>
      <c r="C22" s="69">
        <v>376115000</v>
      </c>
      <c r="D22" s="69">
        <v>209248447</v>
      </c>
      <c r="E22" s="70">
        <f t="shared" si="0"/>
        <v>0.55634166943620966</v>
      </c>
      <c r="F22" s="71">
        <v>0.87965117051965491</v>
      </c>
    </row>
    <row r="23" spans="1:6">
      <c r="A23" s="68" t="s">
        <v>30</v>
      </c>
      <c r="B23" s="68" t="s">
        <v>31</v>
      </c>
      <c r="C23" s="69">
        <v>373777000</v>
      </c>
      <c r="D23" s="69">
        <v>207023912</v>
      </c>
      <c r="E23" s="70">
        <f t="shared" si="0"/>
        <v>0.55387012041939443</v>
      </c>
      <c r="F23" s="71">
        <v>0.8788983805852153</v>
      </c>
    </row>
    <row r="24" spans="1:6">
      <c r="A24" s="68" t="s">
        <v>32</v>
      </c>
      <c r="B24" s="68" t="s">
        <v>33</v>
      </c>
      <c r="C24" s="69">
        <v>1686000</v>
      </c>
      <c r="D24" s="69">
        <v>1574075</v>
      </c>
      <c r="E24" s="70">
        <f t="shared" si="0"/>
        <v>0.93361506524317917</v>
      </c>
      <c r="F24" s="71">
        <v>1</v>
      </c>
    </row>
    <row r="25" spans="1:6">
      <c r="A25" s="68" t="s">
        <v>34</v>
      </c>
      <c r="B25" s="68" t="s">
        <v>35</v>
      </c>
      <c r="C25" s="69">
        <v>652000</v>
      </c>
      <c r="D25" s="69">
        <v>650460</v>
      </c>
      <c r="E25" s="70">
        <f t="shared" si="0"/>
        <v>0.997638036809816</v>
      </c>
      <c r="F25" s="71">
        <v>1</v>
      </c>
    </row>
    <row r="26" spans="1:6">
      <c r="A26" s="68" t="s">
        <v>175</v>
      </c>
      <c r="B26" s="68" t="s">
        <v>176</v>
      </c>
      <c r="C26" s="69">
        <v>4500000</v>
      </c>
      <c r="D26" s="69" t="s">
        <v>318</v>
      </c>
      <c r="E26" s="70">
        <f t="shared" si="0"/>
        <v>0</v>
      </c>
      <c r="F26" s="71">
        <v>0</v>
      </c>
    </row>
    <row r="27" spans="1:6">
      <c r="A27" s="68" t="s">
        <v>177</v>
      </c>
      <c r="B27" s="68" t="s">
        <v>178</v>
      </c>
      <c r="C27" s="69">
        <v>4500000</v>
      </c>
      <c r="D27" s="69" t="s">
        <v>318</v>
      </c>
      <c r="E27" s="70">
        <f t="shared" si="0"/>
        <v>0</v>
      </c>
      <c r="F27" s="71">
        <v>0</v>
      </c>
    </row>
    <row r="28" spans="1:6">
      <c r="A28" s="68" t="s">
        <v>179</v>
      </c>
      <c r="B28" s="68" t="s">
        <v>180</v>
      </c>
      <c r="C28" s="69">
        <v>4500000</v>
      </c>
      <c r="D28" s="69" t="s">
        <v>318</v>
      </c>
      <c r="E28" s="70">
        <f t="shared" si="0"/>
        <v>0</v>
      </c>
      <c r="F28" s="71">
        <v>0</v>
      </c>
    </row>
    <row r="29" spans="1:6">
      <c r="A29" s="68"/>
      <c r="B29" s="68" t="s">
        <v>246</v>
      </c>
      <c r="C29" s="69">
        <v>21902000</v>
      </c>
      <c r="D29" s="69">
        <v>2660000</v>
      </c>
      <c r="E29" s="70">
        <f t="shared" si="0"/>
        <v>0.12145009588165465</v>
      </c>
      <c r="F29" s="71">
        <v>0.25047940827321707</v>
      </c>
    </row>
    <row r="30" spans="1:6">
      <c r="A30" s="68" t="s">
        <v>24</v>
      </c>
      <c r="B30" s="68" t="s">
        <v>25</v>
      </c>
      <c r="C30" s="69">
        <v>21902000</v>
      </c>
      <c r="D30" s="69">
        <v>2660000</v>
      </c>
      <c r="E30" s="70">
        <f t="shared" si="0"/>
        <v>0.12145009588165465</v>
      </c>
      <c r="F30" s="71">
        <v>0.25047940827321707</v>
      </c>
    </row>
    <row r="31" spans="1:6">
      <c r="A31" s="68" t="s">
        <v>26</v>
      </c>
      <c r="B31" s="68" t="s">
        <v>27</v>
      </c>
      <c r="C31" s="69">
        <v>10002000</v>
      </c>
      <c r="D31" s="69" t="s">
        <v>318</v>
      </c>
      <c r="E31" s="70">
        <f t="shared" si="0"/>
        <v>0</v>
      </c>
      <c r="F31" s="71">
        <v>0.16856628674265148</v>
      </c>
    </row>
    <row r="32" spans="1:6">
      <c r="A32" s="68" t="s">
        <v>28</v>
      </c>
      <c r="B32" s="68" t="s">
        <v>29</v>
      </c>
      <c r="C32" s="69">
        <v>10002000</v>
      </c>
      <c r="D32" s="69" t="s">
        <v>318</v>
      </c>
      <c r="E32" s="70">
        <f t="shared" si="0"/>
        <v>0</v>
      </c>
      <c r="F32" s="71">
        <v>0.16856628674265148</v>
      </c>
    </row>
    <row r="33" spans="1:6">
      <c r="A33" s="68" t="s">
        <v>30</v>
      </c>
      <c r="B33" s="68" t="s">
        <v>31</v>
      </c>
      <c r="C33" s="69">
        <v>3066000</v>
      </c>
      <c r="D33" s="69" t="s">
        <v>318</v>
      </c>
      <c r="E33" s="70">
        <f t="shared" si="0"/>
        <v>0</v>
      </c>
      <c r="F33" s="71">
        <v>0</v>
      </c>
    </row>
    <row r="34" spans="1:6">
      <c r="A34" s="68" t="s">
        <v>32</v>
      </c>
      <c r="B34" s="68" t="s">
        <v>33</v>
      </c>
      <c r="C34" s="69">
        <v>1686000</v>
      </c>
      <c r="D34" s="69" t="s">
        <v>318</v>
      </c>
      <c r="E34" s="70">
        <f t="shared" si="0"/>
        <v>0</v>
      </c>
      <c r="F34" s="71">
        <v>1</v>
      </c>
    </row>
    <row r="35" spans="1:6">
      <c r="A35" s="68" t="s">
        <v>137</v>
      </c>
      <c r="B35" s="68" t="s">
        <v>138</v>
      </c>
      <c r="C35" s="69">
        <v>5250000</v>
      </c>
      <c r="D35" s="69" t="s">
        <v>318</v>
      </c>
      <c r="E35" s="70">
        <f t="shared" si="0"/>
        <v>0</v>
      </c>
      <c r="F35" s="71">
        <v>0</v>
      </c>
    </row>
    <row r="36" spans="1:6">
      <c r="A36" s="68" t="s">
        <v>36</v>
      </c>
      <c r="B36" s="68" t="s">
        <v>37</v>
      </c>
      <c r="C36" s="69">
        <v>6100000</v>
      </c>
      <c r="D36" s="69" t="s">
        <v>318</v>
      </c>
      <c r="E36" s="70">
        <f t="shared" si="0"/>
        <v>0</v>
      </c>
      <c r="F36" s="71">
        <v>0</v>
      </c>
    </row>
    <row r="37" spans="1:6">
      <c r="A37" s="68" t="s">
        <v>38</v>
      </c>
      <c r="B37" s="68" t="s">
        <v>39</v>
      </c>
      <c r="C37" s="69">
        <v>6100000</v>
      </c>
      <c r="D37" s="69" t="s">
        <v>318</v>
      </c>
      <c r="E37" s="70">
        <f t="shared" si="0"/>
        <v>0</v>
      </c>
      <c r="F37" s="71">
        <v>0</v>
      </c>
    </row>
    <row r="38" spans="1:6">
      <c r="A38" s="68" t="s">
        <v>247</v>
      </c>
      <c r="B38" s="68" t="s">
        <v>248</v>
      </c>
      <c r="C38" s="69">
        <v>6100000</v>
      </c>
      <c r="D38" s="69" t="s">
        <v>318</v>
      </c>
      <c r="E38" s="70">
        <f t="shared" si="0"/>
        <v>0</v>
      </c>
      <c r="F38" s="71">
        <v>0</v>
      </c>
    </row>
    <row r="39" spans="1:6">
      <c r="A39" s="68" t="s">
        <v>42</v>
      </c>
      <c r="B39" s="68" t="s">
        <v>43</v>
      </c>
      <c r="C39" s="69">
        <v>5800000</v>
      </c>
      <c r="D39" s="69">
        <v>2660000</v>
      </c>
      <c r="E39" s="70">
        <f t="shared" si="0"/>
        <v>0.45862068965517239</v>
      </c>
      <c r="F39" s="71">
        <v>0.65517241379310343</v>
      </c>
    </row>
    <row r="40" spans="1:6">
      <c r="A40" s="68" t="s">
        <v>44</v>
      </c>
      <c r="B40" s="68" t="s">
        <v>45</v>
      </c>
      <c r="C40" s="69">
        <v>5800000</v>
      </c>
      <c r="D40" s="69">
        <v>2660000</v>
      </c>
      <c r="E40" s="70">
        <f t="shared" si="0"/>
        <v>0.45862068965517239</v>
      </c>
      <c r="F40" s="71">
        <v>0.65517241379310343</v>
      </c>
    </row>
    <row r="41" spans="1:6">
      <c r="A41" s="68" t="s">
        <v>46</v>
      </c>
      <c r="B41" s="68" t="s">
        <v>47</v>
      </c>
      <c r="C41" s="69">
        <v>3800000</v>
      </c>
      <c r="D41" s="69">
        <v>2660000</v>
      </c>
      <c r="E41" s="70">
        <f t="shared" si="0"/>
        <v>0.7</v>
      </c>
      <c r="F41" s="71">
        <v>1</v>
      </c>
    </row>
    <row r="42" spans="1:6">
      <c r="A42" s="68" t="s">
        <v>249</v>
      </c>
      <c r="B42" s="68" t="s">
        <v>250</v>
      </c>
      <c r="C42" s="69">
        <v>2000000</v>
      </c>
      <c r="D42" s="69" t="s">
        <v>318</v>
      </c>
      <c r="E42" s="70">
        <f t="shared" si="0"/>
        <v>0</v>
      </c>
      <c r="F42" s="71">
        <v>0</v>
      </c>
    </row>
    <row r="43" spans="1:6">
      <c r="A43" s="68"/>
      <c r="B43" s="68" t="s">
        <v>252</v>
      </c>
      <c r="C43" s="69">
        <v>255800000</v>
      </c>
      <c r="D43" s="69">
        <v>127520000</v>
      </c>
      <c r="E43" s="70">
        <f t="shared" si="0"/>
        <v>0.49851446442533232</v>
      </c>
      <c r="F43" s="71">
        <v>0.58952306489444883</v>
      </c>
    </row>
    <row r="44" spans="1:6">
      <c r="A44" s="68" t="s">
        <v>24</v>
      </c>
      <c r="B44" s="68" t="s">
        <v>25</v>
      </c>
      <c r="C44" s="69">
        <v>255800000</v>
      </c>
      <c r="D44" s="69">
        <v>127520000</v>
      </c>
      <c r="E44" s="70">
        <f t="shared" si="0"/>
        <v>0.49851446442533232</v>
      </c>
      <c r="F44" s="71">
        <v>0.58952306489444883</v>
      </c>
    </row>
    <row r="45" spans="1:6">
      <c r="A45" s="68" t="s">
        <v>26</v>
      </c>
      <c r="B45" s="68" t="s">
        <v>27</v>
      </c>
      <c r="C45" s="69">
        <v>760000</v>
      </c>
      <c r="D45" s="69" t="s">
        <v>318</v>
      </c>
      <c r="E45" s="70">
        <f t="shared" si="0"/>
        <v>0</v>
      </c>
      <c r="F45" s="71">
        <v>1</v>
      </c>
    </row>
    <row r="46" spans="1:6">
      <c r="A46" s="68" t="s">
        <v>28</v>
      </c>
      <c r="B46" s="68" t="s">
        <v>29</v>
      </c>
      <c r="C46" s="69">
        <v>760000</v>
      </c>
      <c r="D46" s="69" t="s">
        <v>318</v>
      </c>
      <c r="E46" s="70">
        <f t="shared" si="0"/>
        <v>0</v>
      </c>
      <c r="F46" s="71">
        <v>1</v>
      </c>
    </row>
    <row r="47" spans="1:6">
      <c r="A47" s="68" t="s">
        <v>30</v>
      </c>
      <c r="B47" s="68" t="s">
        <v>31</v>
      </c>
      <c r="C47" s="69">
        <v>20800</v>
      </c>
      <c r="D47" s="69" t="s">
        <v>318</v>
      </c>
      <c r="E47" s="70">
        <f t="shared" si="0"/>
        <v>0</v>
      </c>
      <c r="F47" s="71">
        <v>1</v>
      </c>
    </row>
    <row r="48" spans="1:6">
      <c r="A48" s="68" t="s">
        <v>32</v>
      </c>
      <c r="B48" s="68" t="s">
        <v>33</v>
      </c>
      <c r="C48" s="69">
        <v>739200</v>
      </c>
      <c r="D48" s="69" t="s">
        <v>318</v>
      </c>
      <c r="E48" s="70">
        <f t="shared" si="0"/>
        <v>0</v>
      </c>
      <c r="F48" s="71">
        <v>1</v>
      </c>
    </row>
    <row r="49" spans="1:6">
      <c r="A49" s="68" t="s">
        <v>36</v>
      </c>
      <c r="B49" s="68" t="s">
        <v>37</v>
      </c>
      <c r="C49" s="69">
        <v>252000000</v>
      </c>
      <c r="D49" s="69">
        <v>126000000</v>
      </c>
      <c r="E49" s="70">
        <f t="shared" si="0"/>
        <v>0.5</v>
      </c>
      <c r="F49" s="71">
        <v>0.58333333333333337</v>
      </c>
    </row>
    <row r="50" spans="1:6">
      <c r="A50" s="68" t="s">
        <v>38</v>
      </c>
      <c r="B50" s="68" t="s">
        <v>39</v>
      </c>
      <c r="C50" s="69">
        <v>252000000</v>
      </c>
      <c r="D50" s="69">
        <v>126000000</v>
      </c>
      <c r="E50" s="70">
        <f t="shared" si="0"/>
        <v>0.5</v>
      </c>
      <c r="F50" s="71">
        <v>0.58333333333333337</v>
      </c>
    </row>
    <row r="51" spans="1:6">
      <c r="A51" s="68" t="s">
        <v>239</v>
      </c>
      <c r="B51" s="68" t="s">
        <v>240</v>
      </c>
      <c r="C51" s="69">
        <v>252000000</v>
      </c>
      <c r="D51" s="69">
        <v>126000000</v>
      </c>
      <c r="E51" s="70">
        <f t="shared" si="0"/>
        <v>0.5</v>
      </c>
      <c r="F51" s="71">
        <v>0.58333333333333337</v>
      </c>
    </row>
    <row r="52" spans="1:6">
      <c r="A52" s="68" t="s">
        <v>42</v>
      </c>
      <c r="B52" s="68" t="s">
        <v>43</v>
      </c>
      <c r="C52" s="69">
        <v>3040000</v>
      </c>
      <c r="D52" s="69">
        <v>1520000</v>
      </c>
      <c r="E52" s="70">
        <f t="shared" si="0"/>
        <v>0.5</v>
      </c>
      <c r="F52" s="71">
        <v>1</v>
      </c>
    </row>
    <row r="53" spans="1:6">
      <c r="A53" s="68" t="s">
        <v>44</v>
      </c>
      <c r="B53" s="68" t="s">
        <v>45</v>
      </c>
      <c r="C53" s="69">
        <v>3040000</v>
      </c>
      <c r="D53" s="69">
        <v>1520000</v>
      </c>
      <c r="E53" s="70">
        <f t="shared" si="0"/>
        <v>0.5</v>
      </c>
      <c r="F53" s="71">
        <v>1</v>
      </c>
    </row>
    <row r="54" spans="1:6">
      <c r="A54" s="68" t="s">
        <v>46</v>
      </c>
      <c r="B54" s="68" t="s">
        <v>47</v>
      </c>
      <c r="C54" s="69">
        <v>3040000</v>
      </c>
      <c r="D54" s="69">
        <v>1520000</v>
      </c>
      <c r="E54" s="70">
        <f t="shared" si="0"/>
        <v>0.5</v>
      </c>
      <c r="F54" s="71">
        <v>1</v>
      </c>
    </row>
  </sheetData>
  <pageMargins left="0.7" right="0.7" top="0.75" bottom="0.75" header="0.3" footer="0.3"/>
  <pageSetup paperSize="9" scale="43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CE53-0B78-4AEC-905B-657BF4BE93AC}">
  <dimension ref="A1:F72"/>
  <sheetViews>
    <sheetView view="pageBreakPreview" zoomScale="60" zoomScaleNormal="100" workbookViewId="0">
      <selection sqref="A1:F39"/>
    </sheetView>
  </sheetViews>
  <sheetFormatPr defaultColWidth="41.3046875" defaultRowHeight="28.3"/>
  <cols>
    <col min="1" max="1" width="26.4609375" style="76" customWidth="1"/>
    <col min="2" max="2" width="76.4609375" style="76" customWidth="1"/>
    <col min="3" max="3" width="32" style="76" customWidth="1"/>
    <col min="4" max="4" width="28.69140625" style="76" customWidth="1"/>
    <col min="5" max="5" width="27.84375" style="77" customWidth="1"/>
    <col min="6" max="6" width="53.07421875" style="78" customWidth="1"/>
    <col min="7" max="16384" width="41.3046875" style="76"/>
  </cols>
  <sheetData>
    <row r="1" spans="1:6">
      <c r="B1" s="76" t="s">
        <v>322</v>
      </c>
      <c r="C1" s="76" t="s">
        <v>323</v>
      </c>
      <c r="D1" s="76" t="s">
        <v>324</v>
      </c>
      <c r="E1" s="77" t="s">
        <v>325</v>
      </c>
      <c r="F1" s="78" t="s">
        <v>326</v>
      </c>
    </row>
    <row r="2" spans="1:6">
      <c r="A2" s="79"/>
      <c r="B2" s="79" t="s">
        <v>254</v>
      </c>
      <c r="C2" s="80">
        <v>301917400</v>
      </c>
      <c r="D2" s="80">
        <v>132236672</v>
      </c>
      <c r="E2" s="81">
        <f t="shared" ref="E2:E39" si="0">D2/C2*100%</f>
        <v>0.4379895693325393</v>
      </c>
      <c r="F2" s="82">
        <v>0.60212627692209852</v>
      </c>
    </row>
    <row r="3" spans="1:6">
      <c r="A3" s="79" t="s">
        <v>24</v>
      </c>
      <c r="B3" s="79" t="s">
        <v>25</v>
      </c>
      <c r="C3" s="80">
        <v>301917400</v>
      </c>
      <c r="D3" s="80">
        <v>132236672</v>
      </c>
      <c r="E3" s="81">
        <f t="shared" si="0"/>
        <v>0.4379895693325393</v>
      </c>
      <c r="F3" s="82">
        <v>0.60212627692209852</v>
      </c>
    </row>
    <row r="4" spans="1:6">
      <c r="A4" s="79" t="s">
        <v>26</v>
      </c>
      <c r="B4" s="79" t="s">
        <v>27</v>
      </c>
      <c r="C4" s="80">
        <v>4707400</v>
      </c>
      <c r="D4" s="80">
        <v>1784769</v>
      </c>
      <c r="E4" s="81">
        <f t="shared" si="0"/>
        <v>0.37914113948251688</v>
      </c>
      <c r="F4" s="82">
        <v>0.76101457280027196</v>
      </c>
    </row>
    <row r="5" spans="1:6">
      <c r="A5" s="79" t="s">
        <v>28</v>
      </c>
      <c r="B5" s="79" t="s">
        <v>29</v>
      </c>
      <c r="C5" s="80">
        <v>4707400</v>
      </c>
      <c r="D5" s="80">
        <v>1784769</v>
      </c>
      <c r="E5" s="81">
        <f t="shared" si="0"/>
        <v>0.37914113948251688</v>
      </c>
      <c r="F5" s="82">
        <v>0.76101457280027196</v>
      </c>
    </row>
    <row r="6" spans="1:6">
      <c r="A6" s="79" t="s">
        <v>30</v>
      </c>
      <c r="B6" s="79" t="s">
        <v>31</v>
      </c>
      <c r="C6" s="80">
        <v>1230800</v>
      </c>
      <c r="D6" s="80">
        <v>558774</v>
      </c>
      <c r="E6" s="81">
        <f t="shared" si="0"/>
        <v>0.45399252518687033</v>
      </c>
      <c r="F6" s="82">
        <v>1</v>
      </c>
    </row>
    <row r="7" spans="1:6">
      <c r="A7" s="79" t="s">
        <v>32</v>
      </c>
      <c r="B7" s="79" t="s">
        <v>33</v>
      </c>
      <c r="C7" s="80">
        <v>413400</v>
      </c>
      <c r="D7" s="80">
        <v>412920</v>
      </c>
      <c r="E7" s="81">
        <f t="shared" si="0"/>
        <v>0.99883889695210448</v>
      </c>
      <c r="F7" s="82">
        <v>1</v>
      </c>
    </row>
    <row r="8" spans="1:6">
      <c r="A8" s="79" t="s">
        <v>34</v>
      </c>
      <c r="B8" s="79" t="s">
        <v>35</v>
      </c>
      <c r="C8" s="80">
        <v>813200</v>
      </c>
      <c r="D8" s="80">
        <v>813075</v>
      </c>
      <c r="E8" s="81">
        <f t="shared" si="0"/>
        <v>0.99984628627643879</v>
      </c>
      <c r="F8" s="82">
        <v>1</v>
      </c>
    </row>
    <row r="9" spans="1:6">
      <c r="A9" s="79" t="s">
        <v>137</v>
      </c>
      <c r="B9" s="79" t="s">
        <v>138</v>
      </c>
      <c r="C9" s="80">
        <v>2250000</v>
      </c>
      <c r="D9" s="80" t="s">
        <v>318</v>
      </c>
      <c r="E9" s="81">
        <f t="shared" si="0"/>
        <v>0</v>
      </c>
      <c r="F9" s="82">
        <v>0.5</v>
      </c>
    </row>
    <row r="10" spans="1:6">
      <c r="A10" s="79" t="s">
        <v>36</v>
      </c>
      <c r="B10" s="79" t="s">
        <v>37</v>
      </c>
      <c r="C10" s="80">
        <v>289950000</v>
      </c>
      <c r="D10" s="80">
        <v>127530000</v>
      </c>
      <c r="E10" s="81">
        <f t="shared" si="0"/>
        <v>0.43983445421624418</v>
      </c>
      <c r="F10" s="82">
        <v>0.58958441110536297</v>
      </c>
    </row>
    <row r="11" spans="1:6">
      <c r="A11" s="79" t="s">
        <v>38</v>
      </c>
      <c r="B11" s="79" t="s">
        <v>39</v>
      </c>
      <c r="C11" s="80">
        <v>289950000</v>
      </c>
      <c r="D11" s="80">
        <v>127530000</v>
      </c>
      <c r="E11" s="81">
        <f t="shared" si="0"/>
        <v>0.43983445421624418</v>
      </c>
      <c r="F11" s="82">
        <v>0.58958441110536297</v>
      </c>
    </row>
    <row r="12" spans="1:6">
      <c r="A12" s="79" t="s">
        <v>255</v>
      </c>
      <c r="B12" s="79" t="s">
        <v>256</v>
      </c>
      <c r="C12" s="80">
        <v>285600000</v>
      </c>
      <c r="D12" s="80">
        <v>123300000</v>
      </c>
      <c r="E12" s="81">
        <f t="shared" si="0"/>
        <v>0.43172268907563027</v>
      </c>
      <c r="F12" s="82">
        <v>0.58333333333333337</v>
      </c>
    </row>
    <row r="13" spans="1:6">
      <c r="A13" s="79" t="s">
        <v>112</v>
      </c>
      <c r="B13" s="79" t="s">
        <v>113</v>
      </c>
      <c r="C13" s="80">
        <v>4350000</v>
      </c>
      <c r="D13" s="80">
        <v>4230000</v>
      </c>
      <c r="E13" s="81">
        <f t="shared" si="0"/>
        <v>0.97241379310344822</v>
      </c>
      <c r="F13" s="82">
        <v>1</v>
      </c>
    </row>
    <row r="14" spans="1:6">
      <c r="A14" s="79" t="s">
        <v>42</v>
      </c>
      <c r="B14" s="79" t="s">
        <v>43</v>
      </c>
      <c r="C14" s="80">
        <v>760000</v>
      </c>
      <c r="D14" s="80" t="s">
        <v>318</v>
      </c>
      <c r="E14" s="81">
        <f t="shared" si="0"/>
        <v>0</v>
      </c>
      <c r="F14" s="82">
        <v>1</v>
      </c>
    </row>
    <row r="15" spans="1:6">
      <c r="A15" s="79" t="s">
        <v>44</v>
      </c>
      <c r="B15" s="79" t="s">
        <v>45</v>
      </c>
      <c r="C15" s="80">
        <v>760000</v>
      </c>
      <c r="D15" s="80" t="s">
        <v>318</v>
      </c>
      <c r="E15" s="81">
        <f t="shared" si="0"/>
        <v>0</v>
      </c>
      <c r="F15" s="82">
        <v>1</v>
      </c>
    </row>
    <row r="16" spans="1:6">
      <c r="A16" s="79" t="s">
        <v>46</v>
      </c>
      <c r="B16" s="79" t="s">
        <v>47</v>
      </c>
      <c r="C16" s="80">
        <v>760000</v>
      </c>
      <c r="D16" s="80" t="s">
        <v>318</v>
      </c>
      <c r="E16" s="81">
        <f t="shared" si="0"/>
        <v>0</v>
      </c>
      <c r="F16" s="82">
        <v>1</v>
      </c>
    </row>
    <row r="17" spans="1:6">
      <c r="A17" s="79" t="s">
        <v>175</v>
      </c>
      <c r="B17" s="79" t="s">
        <v>176</v>
      </c>
      <c r="C17" s="80">
        <v>6500000</v>
      </c>
      <c r="D17" s="80">
        <v>2921903</v>
      </c>
      <c r="E17" s="81">
        <f t="shared" si="0"/>
        <v>0.44952353846153847</v>
      </c>
      <c r="F17" s="82">
        <v>1</v>
      </c>
    </row>
    <row r="18" spans="1:6">
      <c r="A18" s="79" t="s">
        <v>177</v>
      </c>
      <c r="B18" s="79" t="s">
        <v>178</v>
      </c>
      <c r="C18" s="80">
        <v>6500000</v>
      </c>
      <c r="D18" s="80">
        <v>2921903</v>
      </c>
      <c r="E18" s="81">
        <f t="shared" si="0"/>
        <v>0.44952353846153847</v>
      </c>
      <c r="F18" s="82">
        <v>1</v>
      </c>
    </row>
    <row r="19" spans="1:6">
      <c r="A19" s="79" t="s">
        <v>179</v>
      </c>
      <c r="B19" s="79" t="s">
        <v>180</v>
      </c>
      <c r="C19" s="80">
        <v>6500000</v>
      </c>
      <c r="D19" s="80">
        <v>2921903</v>
      </c>
      <c r="E19" s="81">
        <f t="shared" si="0"/>
        <v>0.44952353846153847</v>
      </c>
      <c r="F19" s="82">
        <v>1</v>
      </c>
    </row>
    <row r="20" spans="1:6">
      <c r="A20" s="79"/>
      <c r="B20" s="79" t="s">
        <v>258</v>
      </c>
      <c r="C20" s="80">
        <v>245506300</v>
      </c>
      <c r="D20" s="80">
        <v>123800000</v>
      </c>
      <c r="E20" s="81">
        <f t="shared" si="0"/>
        <v>0.5042640453625834</v>
      </c>
      <c r="F20" s="82">
        <v>0.59267847708999732</v>
      </c>
    </row>
    <row r="21" spans="1:6">
      <c r="A21" s="79" t="s">
        <v>24</v>
      </c>
      <c r="B21" s="79" t="s">
        <v>25</v>
      </c>
      <c r="C21" s="80">
        <v>245506300</v>
      </c>
      <c r="D21" s="80">
        <v>123800000</v>
      </c>
      <c r="E21" s="81">
        <f t="shared" si="0"/>
        <v>0.5042640453625834</v>
      </c>
      <c r="F21" s="82">
        <v>0.59267847708999732</v>
      </c>
    </row>
    <row r="22" spans="1:6">
      <c r="A22" s="79" t="s">
        <v>26</v>
      </c>
      <c r="B22" s="79" t="s">
        <v>27</v>
      </c>
      <c r="C22" s="80">
        <v>1706300</v>
      </c>
      <c r="D22" s="80" t="s">
        <v>318</v>
      </c>
      <c r="E22" s="81">
        <f t="shared" si="0"/>
        <v>0</v>
      </c>
      <c r="F22" s="82">
        <v>1</v>
      </c>
    </row>
    <row r="23" spans="1:6">
      <c r="A23" s="79" t="s">
        <v>28</v>
      </c>
      <c r="B23" s="79" t="s">
        <v>29</v>
      </c>
      <c r="C23" s="80">
        <v>1706300</v>
      </c>
      <c r="D23" s="80" t="s">
        <v>318</v>
      </c>
      <c r="E23" s="81">
        <f t="shared" si="0"/>
        <v>0</v>
      </c>
      <c r="F23" s="82">
        <v>1</v>
      </c>
    </row>
    <row r="24" spans="1:6">
      <c r="A24" s="79" t="s">
        <v>30</v>
      </c>
      <c r="B24" s="79" t="s">
        <v>31</v>
      </c>
      <c r="C24" s="80">
        <v>329100</v>
      </c>
      <c r="D24" s="80" t="s">
        <v>318</v>
      </c>
      <c r="E24" s="81">
        <f t="shared" si="0"/>
        <v>0</v>
      </c>
      <c r="F24" s="82">
        <v>1</v>
      </c>
    </row>
    <row r="25" spans="1:6">
      <c r="A25" s="79" t="s">
        <v>32</v>
      </c>
      <c r="B25" s="79" t="s">
        <v>33</v>
      </c>
      <c r="C25" s="80">
        <v>413400</v>
      </c>
      <c r="D25" s="80" t="s">
        <v>318</v>
      </c>
      <c r="E25" s="81">
        <f t="shared" si="0"/>
        <v>0</v>
      </c>
      <c r="F25" s="82">
        <v>1</v>
      </c>
    </row>
    <row r="26" spans="1:6">
      <c r="A26" s="79" t="s">
        <v>34</v>
      </c>
      <c r="B26" s="79" t="s">
        <v>35</v>
      </c>
      <c r="C26" s="80">
        <v>963800</v>
      </c>
      <c r="D26" s="80" t="s">
        <v>318</v>
      </c>
      <c r="E26" s="81">
        <f t="shared" si="0"/>
        <v>0</v>
      </c>
      <c r="F26" s="82">
        <v>1</v>
      </c>
    </row>
    <row r="27" spans="1:6">
      <c r="A27" s="79" t="s">
        <v>36</v>
      </c>
      <c r="B27" s="79" t="s">
        <v>37</v>
      </c>
      <c r="C27" s="80">
        <v>240000000</v>
      </c>
      <c r="D27" s="80">
        <v>120000000</v>
      </c>
      <c r="E27" s="81">
        <f t="shared" si="0"/>
        <v>0.5</v>
      </c>
      <c r="F27" s="82">
        <v>0.58333333333333337</v>
      </c>
    </row>
    <row r="28" spans="1:6">
      <c r="A28" s="79" t="s">
        <v>38</v>
      </c>
      <c r="B28" s="79" t="s">
        <v>39</v>
      </c>
      <c r="C28" s="80">
        <v>240000000</v>
      </c>
      <c r="D28" s="80">
        <v>120000000</v>
      </c>
      <c r="E28" s="81">
        <f t="shared" si="0"/>
        <v>0.5</v>
      </c>
      <c r="F28" s="82">
        <v>0.58333333333333337</v>
      </c>
    </row>
    <row r="29" spans="1:6">
      <c r="A29" s="79" t="s">
        <v>259</v>
      </c>
      <c r="B29" s="79" t="s">
        <v>260</v>
      </c>
      <c r="C29" s="80">
        <v>240000000</v>
      </c>
      <c r="D29" s="80">
        <v>120000000</v>
      </c>
      <c r="E29" s="81">
        <f t="shared" si="0"/>
        <v>0.5</v>
      </c>
      <c r="F29" s="82">
        <v>0.58333333333333337</v>
      </c>
    </row>
    <row r="30" spans="1:6">
      <c r="A30" s="79" t="s">
        <v>42</v>
      </c>
      <c r="B30" s="79" t="s">
        <v>43</v>
      </c>
      <c r="C30" s="80">
        <v>3800000</v>
      </c>
      <c r="D30" s="80">
        <v>3800000</v>
      </c>
      <c r="E30" s="81">
        <f t="shared" si="0"/>
        <v>1</v>
      </c>
      <c r="F30" s="82">
        <v>1</v>
      </c>
    </row>
    <row r="31" spans="1:6">
      <c r="A31" s="79" t="s">
        <v>44</v>
      </c>
      <c r="B31" s="79" t="s">
        <v>45</v>
      </c>
      <c r="C31" s="80">
        <v>3800000</v>
      </c>
      <c r="D31" s="80">
        <v>3800000</v>
      </c>
      <c r="E31" s="81">
        <f t="shared" si="0"/>
        <v>1</v>
      </c>
      <c r="F31" s="82">
        <v>1</v>
      </c>
    </row>
    <row r="32" spans="1:6">
      <c r="A32" s="79" t="s">
        <v>46</v>
      </c>
      <c r="B32" s="79" t="s">
        <v>47</v>
      </c>
      <c r="C32" s="80">
        <v>3800000</v>
      </c>
      <c r="D32" s="80">
        <v>3800000</v>
      </c>
      <c r="E32" s="81">
        <f t="shared" si="0"/>
        <v>1</v>
      </c>
      <c r="F32" s="82">
        <v>1</v>
      </c>
    </row>
    <row r="33" spans="1:6">
      <c r="A33" s="79"/>
      <c r="B33" s="79" t="s">
        <v>262</v>
      </c>
      <c r="C33" s="80">
        <v>1940100</v>
      </c>
      <c r="D33" s="80">
        <v>1580640</v>
      </c>
      <c r="E33" s="81">
        <f t="shared" si="0"/>
        <v>0.81472089067573839</v>
      </c>
      <c r="F33" s="82">
        <v>1</v>
      </c>
    </row>
    <row r="34" spans="1:6">
      <c r="A34" s="79" t="s">
        <v>24</v>
      </c>
      <c r="B34" s="79" t="s">
        <v>25</v>
      </c>
      <c r="C34" s="80">
        <v>1940100</v>
      </c>
      <c r="D34" s="80">
        <v>1580640</v>
      </c>
      <c r="E34" s="81">
        <f t="shared" si="0"/>
        <v>0.81472089067573839</v>
      </c>
      <c r="F34" s="82">
        <v>1</v>
      </c>
    </row>
    <row r="35" spans="1:6">
      <c r="A35" s="79" t="s">
        <v>26</v>
      </c>
      <c r="B35" s="79" t="s">
        <v>27</v>
      </c>
      <c r="C35" s="80">
        <v>1940100</v>
      </c>
      <c r="D35" s="80">
        <v>1580640</v>
      </c>
      <c r="E35" s="81">
        <f t="shared" si="0"/>
        <v>0.81472089067573839</v>
      </c>
      <c r="F35" s="82">
        <v>1</v>
      </c>
    </row>
    <row r="36" spans="1:6">
      <c r="A36" s="79" t="s">
        <v>28</v>
      </c>
      <c r="B36" s="79" t="s">
        <v>29</v>
      </c>
      <c r="C36" s="80">
        <v>1940100</v>
      </c>
      <c r="D36" s="80">
        <v>1580640</v>
      </c>
      <c r="E36" s="81">
        <f t="shared" si="0"/>
        <v>0.81472089067573839</v>
      </c>
      <c r="F36" s="82">
        <v>1</v>
      </c>
    </row>
    <row r="37" spans="1:6">
      <c r="A37" s="79" t="s">
        <v>30</v>
      </c>
      <c r="B37" s="79" t="s">
        <v>31</v>
      </c>
      <c r="C37" s="80">
        <v>615900</v>
      </c>
      <c r="D37" s="80">
        <v>276612</v>
      </c>
      <c r="E37" s="81">
        <f t="shared" si="0"/>
        <v>0.44911836337067707</v>
      </c>
      <c r="F37" s="82">
        <v>1</v>
      </c>
    </row>
    <row r="38" spans="1:6">
      <c r="A38" s="79" t="s">
        <v>32</v>
      </c>
      <c r="B38" s="79" t="s">
        <v>33</v>
      </c>
      <c r="C38" s="80">
        <v>413400</v>
      </c>
      <c r="D38" s="80">
        <v>408258</v>
      </c>
      <c r="E38" s="81">
        <f t="shared" si="0"/>
        <v>0.98756168359941943</v>
      </c>
      <c r="F38" s="82">
        <v>1</v>
      </c>
    </row>
    <row r="39" spans="1:6">
      <c r="A39" s="79" t="s">
        <v>34</v>
      </c>
      <c r="B39" s="79" t="s">
        <v>35</v>
      </c>
      <c r="C39" s="80">
        <v>910800</v>
      </c>
      <c r="D39" s="80">
        <v>895770</v>
      </c>
      <c r="E39" s="81">
        <f t="shared" si="0"/>
        <v>0.98349802371541506</v>
      </c>
      <c r="F39" s="82">
        <v>1</v>
      </c>
    </row>
    <row r="40" spans="1:6">
      <c r="A40" s="79"/>
      <c r="B40" s="79"/>
      <c r="C40" s="80"/>
      <c r="D40" s="80"/>
      <c r="E40" s="81"/>
    </row>
    <row r="41" spans="1:6">
      <c r="A41" s="79"/>
      <c r="B41" s="79"/>
      <c r="C41" s="80"/>
      <c r="D41" s="80"/>
      <c r="E41" s="81"/>
    </row>
    <row r="42" spans="1:6">
      <c r="A42" s="79"/>
      <c r="B42" s="79"/>
      <c r="C42" s="80"/>
      <c r="D42" s="80"/>
      <c r="E42" s="81"/>
    </row>
    <row r="43" spans="1:6">
      <c r="A43" s="79"/>
      <c r="B43" s="79"/>
      <c r="C43" s="80"/>
      <c r="D43" s="80"/>
      <c r="E43" s="81"/>
    </row>
    <row r="44" spans="1:6">
      <c r="A44" s="79"/>
      <c r="B44" s="79"/>
      <c r="C44" s="80"/>
      <c r="D44" s="80"/>
      <c r="E44" s="81"/>
    </row>
    <row r="45" spans="1:6">
      <c r="A45" s="79"/>
      <c r="B45" s="79"/>
      <c r="C45" s="80"/>
      <c r="D45" s="80"/>
      <c r="E45" s="81"/>
    </row>
    <row r="46" spans="1:6">
      <c r="A46" s="79"/>
      <c r="B46" s="79"/>
      <c r="C46" s="80"/>
      <c r="D46" s="80"/>
      <c r="E46" s="81"/>
    </row>
    <row r="47" spans="1:6">
      <c r="A47" s="79"/>
      <c r="B47" s="79"/>
      <c r="C47" s="80"/>
      <c r="D47" s="80"/>
      <c r="E47" s="81"/>
    </row>
    <row r="48" spans="1:6">
      <c r="A48" s="79"/>
      <c r="B48" s="79"/>
      <c r="C48" s="80"/>
      <c r="D48" s="80"/>
      <c r="E48" s="81"/>
    </row>
    <row r="49" spans="1:5">
      <c r="A49" s="79"/>
      <c r="B49" s="79"/>
      <c r="C49" s="80"/>
      <c r="D49" s="80"/>
      <c r="E49" s="81"/>
    </row>
    <row r="50" spans="1:5">
      <c r="A50" s="79"/>
      <c r="B50" s="79"/>
      <c r="C50" s="80"/>
      <c r="D50" s="80"/>
      <c r="E50" s="81"/>
    </row>
    <row r="51" spans="1:5">
      <c r="A51" s="79"/>
      <c r="B51" s="79"/>
      <c r="C51" s="80"/>
      <c r="D51" s="80"/>
      <c r="E51" s="81"/>
    </row>
    <row r="52" spans="1:5">
      <c r="A52" s="79"/>
      <c r="B52" s="79"/>
      <c r="C52" s="80"/>
      <c r="D52" s="80"/>
      <c r="E52" s="81"/>
    </row>
    <row r="53" spans="1:5">
      <c r="A53" s="79"/>
      <c r="B53" s="79"/>
      <c r="C53" s="80"/>
      <c r="D53" s="80"/>
      <c r="E53" s="81"/>
    </row>
    <row r="54" spans="1:5">
      <c r="A54" s="79"/>
      <c r="B54" s="79"/>
      <c r="C54" s="80"/>
      <c r="D54" s="80"/>
      <c r="E54" s="81"/>
    </row>
    <row r="55" spans="1:5">
      <c r="A55" s="79"/>
      <c r="B55" s="79"/>
      <c r="C55" s="80"/>
      <c r="D55" s="80"/>
      <c r="E55" s="81"/>
    </row>
    <row r="56" spans="1:5">
      <c r="A56" s="79"/>
      <c r="B56" s="79"/>
      <c r="C56" s="80"/>
      <c r="D56" s="80"/>
      <c r="E56" s="81"/>
    </row>
    <row r="57" spans="1:5">
      <c r="A57" s="79"/>
      <c r="B57" s="79"/>
      <c r="C57" s="80"/>
      <c r="D57" s="80"/>
      <c r="E57" s="81"/>
    </row>
    <row r="58" spans="1:5">
      <c r="A58" s="79"/>
      <c r="B58" s="79"/>
      <c r="C58" s="80"/>
      <c r="D58" s="80"/>
      <c r="E58" s="81"/>
    </row>
    <row r="59" spans="1:5">
      <c r="A59" s="79"/>
      <c r="B59" s="79"/>
      <c r="C59" s="80"/>
      <c r="D59" s="80"/>
      <c r="E59" s="81"/>
    </row>
    <row r="60" spans="1:5">
      <c r="A60" s="79"/>
      <c r="B60" s="79"/>
      <c r="C60" s="80"/>
      <c r="D60" s="80"/>
      <c r="E60" s="81"/>
    </row>
    <row r="61" spans="1:5">
      <c r="A61" s="79"/>
      <c r="B61" s="79"/>
      <c r="C61" s="80"/>
      <c r="D61" s="80"/>
      <c r="E61" s="81"/>
    </row>
    <row r="62" spans="1:5">
      <c r="A62" s="79"/>
      <c r="B62" s="79"/>
      <c r="C62" s="80"/>
      <c r="D62" s="80"/>
      <c r="E62" s="81"/>
    </row>
    <row r="63" spans="1:5">
      <c r="A63" s="79"/>
      <c r="B63" s="79"/>
      <c r="C63" s="80"/>
      <c r="D63" s="80"/>
      <c r="E63" s="81"/>
    </row>
    <row r="64" spans="1:5">
      <c r="A64" s="79"/>
      <c r="B64" s="79"/>
      <c r="C64" s="80"/>
      <c r="D64" s="80"/>
      <c r="E64" s="81"/>
    </row>
    <row r="65" spans="1:5">
      <c r="A65" s="79"/>
      <c r="B65" s="79"/>
      <c r="C65" s="80"/>
      <c r="D65" s="80"/>
      <c r="E65" s="81"/>
    </row>
    <row r="66" spans="1:5">
      <c r="A66" s="79"/>
      <c r="B66" s="79"/>
      <c r="C66" s="80"/>
      <c r="D66" s="80"/>
      <c r="E66" s="81"/>
    </row>
    <row r="67" spans="1:5">
      <c r="A67" s="79"/>
      <c r="B67" s="79"/>
      <c r="C67" s="80"/>
      <c r="D67" s="80"/>
      <c r="E67" s="81"/>
    </row>
    <row r="68" spans="1:5">
      <c r="A68" s="79"/>
      <c r="B68" s="79"/>
      <c r="C68" s="80"/>
      <c r="D68" s="80"/>
      <c r="E68" s="81"/>
    </row>
    <row r="69" spans="1:5">
      <c r="A69" s="79"/>
      <c r="B69" s="79"/>
      <c r="C69" s="80"/>
      <c r="D69" s="80"/>
      <c r="E69" s="81"/>
    </row>
    <row r="70" spans="1:5">
      <c r="A70" s="79"/>
      <c r="B70" s="79"/>
      <c r="C70" s="80"/>
      <c r="D70" s="80"/>
      <c r="E70" s="81"/>
    </row>
    <row r="71" spans="1:5">
      <c r="A71" s="79"/>
      <c r="B71" s="79"/>
      <c r="C71" s="80"/>
      <c r="D71" s="80"/>
      <c r="E71" s="81"/>
    </row>
    <row r="72" spans="1:5">
      <c r="A72" s="79"/>
      <c r="B72" s="79"/>
      <c r="C72" s="80"/>
      <c r="D72" s="80"/>
      <c r="E72" s="81"/>
    </row>
  </sheetData>
  <pageMargins left="0.7" right="0.7" top="0.75" bottom="0.75" header="0.3" footer="0.3"/>
  <pageSetup paperSize="9" scale="31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65C9-E90F-42D2-9577-76FC1F59358D}">
  <dimension ref="A1:F57"/>
  <sheetViews>
    <sheetView view="pageBreakPreview" zoomScale="60" zoomScaleNormal="100" workbookViewId="0">
      <selection sqref="A1:F57"/>
    </sheetView>
  </sheetViews>
  <sheetFormatPr defaultRowHeight="14.6"/>
  <cols>
    <col min="1" max="1" width="18.765625" customWidth="1"/>
    <col min="2" max="2" width="108.84375" bestFit="1" customWidth="1"/>
    <col min="3" max="3" width="22.765625" customWidth="1"/>
    <col min="4" max="4" width="22.3046875" customWidth="1"/>
    <col min="5" max="5" width="12.84375" style="53" customWidth="1"/>
    <col min="6" max="6" width="33.53515625" style="54" customWidth="1"/>
  </cols>
  <sheetData>
    <row r="1" spans="1:6" ht="20.6">
      <c r="A1" s="65"/>
      <c r="B1" s="65" t="s">
        <v>322</v>
      </c>
      <c r="C1" s="65" t="s">
        <v>323</v>
      </c>
      <c r="D1" s="65" t="s">
        <v>324</v>
      </c>
      <c r="E1" s="66" t="s">
        <v>325</v>
      </c>
      <c r="F1" s="67" t="s">
        <v>326</v>
      </c>
    </row>
    <row r="2" spans="1:6" ht="20.6">
      <c r="A2" s="68"/>
      <c r="B2" s="68" t="s">
        <v>266</v>
      </c>
      <c r="C2" s="69">
        <v>2556814200</v>
      </c>
      <c r="D2" s="69">
        <v>1080159374</v>
      </c>
      <c r="E2" s="70">
        <f t="shared" ref="E2:E57" si="0">D2/C2*100%</f>
        <v>0.42246299085792</v>
      </c>
      <c r="F2" s="71">
        <v>0.67756914053434147</v>
      </c>
    </row>
    <row r="3" spans="1:6" ht="20.6">
      <c r="A3" s="68"/>
      <c r="B3" s="68" t="s">
        <v>268</v>
      </c>
      <c r="C3" s="69">
        <v>55383000</v>
      </c>
      <c r="D3" s="69">
        <v>19978236</v>
      </c>
      <c r="E3" s="70">
        <f t="shared" si="0"/>
        <v>0.36072867125291153</v>
      </c>
      <c r="F3" s="71">
        <v>0.74543090840149506</v>
      </c>
    </row>
    <row r="4" spans="1:6" ht="20.6">
      <c r="A4" s="68" t="s">
        <v>24</v>
      </c>
      <c r="B4" s="68" t="s">
        <v>25</v>
      </c>
      <c r="C4" s="69">
        <v>55383000</v>
      </c>
      <c r="D4" s="69">
        <v>19978236</v>
      </c>
      <c r="E4" s="70">
        <f t="shared" si="0"/>
        <v>0.36072867125291153</v>
      </c>
      <c r="F4" s="71">
        <v>0.74543090840149506</v>
      </c>
    </row>
    <row r="5" spans="1:6" ht="20.6">
      <c r="A5" s="68" t="s">
        <v>26</v>
      </c>
      <c r="B5" s="68" t="s">
        <v>27</v>
      </c>
      <c r="C5" s="69">
        <v>10685000</v>
      </c>
      <c r="D5" s="69">
        <v>5252236</v>
      </c>
      <c r="E5" s="70">
        <f t="shared" si="0"/>
        <v>0.49155226953673375</v>
      </c>
      <c r="F5" s="71">
        <v>0.76595226953673379</v>
      </c>
    </row>
    <row r="6" spans="1:6" ht="20.6">
      <c r="A6" s="68" t="s">
        <v>28</v>
      </c>
      <c r="B6" s="68" t="s">
        <v>29</v>
      </c>
      <c r="C6" s="69">
        <v>10685000</v>
      </c>
      <c r="D6" s="69">
        <v>5252236</v>
      </c>
      <c r="E6" s="70">
        <f t="shared" si="0"/>
        <v>0.49155226953673375</v>
      </c>
      <c r="F6" s="71">
        <v>0.76595226953673379</v>
      </c>
    </row>
    <row r="7" spans="1:6" ht="20.6">
      <c r="A7" s="68" t="s">
        <v>30</v>
      </c>
      <c r="B7" s="68" t="s">
        <v>31</v>
      </c>
      <c r="C7" s="69">
        <v>3423000</v>
      </c>
      <c r="D7" s="69">
        <v>501720</v>
      </c>
      <c r="E7" s="70">
        <f t="shared" si="0"/>
        <v>0.14657318141980719</v>
      </c>
      <c r="F7" s="71">
        <v>0.54320771253286593</v>
      </c>
    </row>
    <row r="8" spans="1:6" ht="20.6">
      <c r="A8" s="68" t="s">
        <v>32</v>
      </c>
      <c r="B8" s="68" t="s">
        <v>33</v>
      </c>
      <c r="C8" s="69">
        <v>841400</v>
      </c>
      <c r="D8" s="69">
        <v>150516</v>
      </c>
      <c r="E8" s="70">
        <f t="shared" si="0"/>
        <v>0.17888756833848349</v>
      </c>
      <c r="F8" s="71">
        <v>1</v>
      </c>
    </row>
    <row r="9" spans="1:6" ht="20.6">
      <c r="A9" s="68" t="s">
        <v>237</v>
      </c>
      <c r="B9" s="68" t="s">
        <v>238</v>
      </c>
      <c r="C9" s="69">
        <v>240000</v>
      </c>
      <c r="D9" s="69">
        <v>100000</v>
      </c>
      <c r="E9" s="70">
        <f t="shared" si="0"/>
        <v>0.41666666666666669</v>
      </c>
      <c r="F9" s="71">
        <v>0.625</v>
      </c>
    </row>
    <row r="10" spans="1:6" ht="20.6">
      <c r="A10" s="68" t="s">
        <v>34</v>
      </c>
      <c r="B10" s="68" t="s">
        <v>35</v>
      </c>
      <c r="C10" s="69">
        <v>1680600</v>
      </c>
      <c r="D10" s="69" t="s">
        <v>318</v>
      </c>
      <c r="E10" s="70">
        <f t="shared" si="0"/>
        <v>0</v>
      </c>
      <c r="F10" s="71">
        <v>0.49589432345590861</v>
      </c>
    </row>
    <row r="11" spans="1:6" ht="20.6">
      <c r="A11" s="68" t="s">
        <v>137</v>
      </c>
      <c r="B11" s="68" t="s">
        <v>138</v>
      </c>
      <c r="C11" s="69">
        <v>4500000</v>
      </c>
      <c r="D11" s="69">
        <v>4500000</v>
      </c>
      <c r="E11" s="70">
        <f t="shared" si="0"/>
        <v>1</v>
      </c>
      <c r="F11" s="71">
        <v>1</v>
      </c>
    </row>
    <row r="12" spans="1:6" ht="20.6">
      <c r="A12" s="68" t="s">
        <v>36</v>
      </c>
      <c r="B12" s="68" t="s">
        <v>37</v>
      </c>
      <c r="C12" s="69">
        <v>14298000</v>
      </c>
      <c r="D12" s="69">
        <v>7506000</v>
      </c>
      <c r="E12" s="70">
        <f t="shared" si="0"/>
        <v>0.52496852706672259</v>
      </c>
      <c r="F12" s="71">
        <v>0.58749475451112043</v>
      </c>
    </row>
    <row r="13" spans="1:6" ht="20.6">
      <c r="A13" s="68" t="s">
        <v>38</v>
      </c>
      <c r="B13" s="68" t="s">
        <v>39</v>
      </c>
      <c r="C13" s="69">
        <v>14298000</v>
      </c>
      <c r="D13" s="69">
        <v>7506000</v>
      </c>
      <c r="E13" s="70">
        <f t="shared" si="0"/>
        <v>0.52496852706672259</v>
      </c>
      <c r="F13" s="71">
        <v>0.58749475451112043</v>
      </c>
    </row>
    <row r="14" spans="1:6" ht="20.6">
      <c r="A14" s="68" t="s">
        <v>40</v>
      </c>
      <c r="B14" s="68" t="s">
        <v>41</v>
      </c>
      <c r="C14" s="69">
        <v>14298000</v>
      </c>
      <c r="D14" s="69">
        <v>7506000</v>
      </c>
      <c r="E14" s="70">
        <f t="shared" si="0"/>
        <v>0.52496852706672259</v>
      </c>
      <c r="F14" s="71">
        <v>0.58749475451112043</v>
      </c>
    </row>
    <row r="15" spans="1:6" ht="20.6">
      <c r="A15" s="68" t="s">
        <v>42</v>
      </c>
      <c r="B15" s="68" t="s">
        <v>43</v>
      </c>
      <c r="C15" s="69">
        <v>30400000</v>
      </c>
      <c r="D15" s="69">
        <v>7220000</v>
      </c>
      <c r="E15" s="70">
        <f t="shared" si="0"/>
        <v>0.23749999999999999</v>
      </c>
      <c r="F15" s="71">
        <v>0.8125</v>
      </c>
    </row>
    <row r="16" spans="1:6" ht="20.6">
      <c r="A16" s="68" t="s">
        <v>44</v>
      </c>
      <c r="B16" s="68" t="s">
        <v>45</v>
      </c>
      <c r="C16" s="69">
        <v>30400000</v>
      </c>
      <c r="D16" s="69">
        <v>7220000</v>
      </c>
      <c r="E16" s="70">
        <f t="shared" si="0"/>
        <v>0.23749999999999999</v>
      </c>
      <c r="F16" s="71">
        <v>0.8125</v>
      </c>
    </row>
    <row r="17" spans="1:6" ht="20.6">
      <c r="A17" s="68" t="s">
        <v>46</v>
      </c>
      <c r="B17" s="68" t="s">
        <v>47</v>
      </c>
      <c r="C17" s="69">
        <v>30400000</v>
      </c>
      <c r="D17" s="69">
        <v>7220000</v>
      </c>
      <c r="E17" s="70">
        <f t="shared" si="0"/>
        <v>0.23749999999999999</v>
      </c>
      <c r="F17" s="71">
        <v>0.8125</v>
      </c>
    </row>
    <row r="18" spans="1:6" ht="20.6">
      <c r="A18" s="68"/>
      <c r="B18" s="68" t="s">
        <v>270</v>
      </c>
      <c r="C18" s="69">
        <v>1643639900</v>
      </c>
      <c r="D18" s="69">
        <v>818560743</v>
      </c>
      <c r="E18" s="70">
        <f t="shared" si="0"/>
        <v>0.49801707965351777</v>
      </c>
      <c r="F18" s="71">
        <v>0.58351582971428229</v>
      </c>
    </row>
    <row r="19" spans="1:6" ht="20.6">
      <c r="A19" s="68" t="s">
        <v>24</v>
      </c>
      <c r="B19" s="68" t="s">
        <v>25</v>
      </c>
      <c r="C19" s="69">
        <v>1643639900</v>
      </c>
      <c r="D19" s="69">
        <v>818560743</v>
      </c>
      <c r="E19" s="70">
        <f t="shared" si="0"/>
        <v>0.49801707965351777</v>
      </c>
      <c r="F19" s="71">
        <v>0.58351582971428229</v>
      </c>
    </row>
    <row r="20" spans="1:6" ht="20.6">
      <c r="A20" s="68" t="s">
        <v>26</v>
      </c>
      <c r="B20" s="68" t="s">
        <v>27</v>
      </c>
      <c r="C20" s="69">
        <v>719900</v>
      </c>
      <c r="D20" s="69">
        <v>700743</v>
      </c>
      <c r="E20" s="70">
        <f t="shared" si="0"/>
        <v>0.97338935963328244</v>
      </c>
      <c r="F20" s="71">
        <v>1</v>
      </c>
    </row>
    <row r="21" spans="1:6" ht="20.6">
      <c r="A21" s="68" t="s">
        <v>28</v>
      </c>
      <c r="B21" s="68" t="s">
        <v>29</v>
      </c>
      <c r="C21" s="69">
        <v>719900</v>
      </c>
      <c r="D21" s="69">
        <v>700743</v>
      </c>
      <c r="E21" s="70">
        <f t="shared" si="0"/>
        <v>0.97338935963328244</v>
      </c>
      <c r="F21" s="71">
        <v>1</v>
      </c>
    </row>
    <row r="22" spans="1:6" ht="20.6">
      <c r="A22" s="68" t="s">
        <v>30</v>
      </c>
      <c r="B22" s="68" t="s">
        <v>31</v>
      </c>
      <c r="C22" s="69">
        <v>368100</v>
      </c>
      <c r="D22" s="69">
        <v>353313</v>
      </c>
      <c r="E22" s="70">
        <f t="shared" si="0"/>
        <v>0.95982885085574576</v>
      </c>
      <c r="F22" s="71">
        <v>1</v>
      </c>
    </row>
    <row r="23" spans="1:6" ht="20.6">
      <c r="A23" s="68" t="s">
        <v>32</v>
      </c>
      <c r="B23" s="68" t="s">
        <v>33</v>
      </c>
      <c r="C23" s="69">
        <v>351800</v>
      </c>
      <c r="D23" s="69">
        <v>347430</v>
      </c>
      <c r="E23" s="70">
        <f t="shared" si="0"/>
        <v>0.98757816941443999</v>
      </c>
      <c r="F23" s="71">
        <v>1</v>
      </c>
    </row>
    <row r="24" spans="1:6" ht="20.6">
      <c r="A24" s="68" t="s">
        <v>36</v>
      </c>
      <c r="B24" s="68" t="s">
        <v>37</v>
      </c>
      <c r="C24" s="69">
        <v>1642920000</v>
      </c>
      <c r="D24" s="69">
        <v>817860000</v>
      </c>
      <c r="E24" s="70">
        <f t="shared" si="0"/>
        <v>0.49780877949017605</v>
      </c>
      <c r="F24" s="71">
        <v>0.58333333333333337</v>
      </c>
    </row>
    <row r="25" spans="1:6" ht="20.6">
      <c r="A25" s="68" t="s">
        <v>38</v>
      </c>
      <c r="B25" s="68" t="s">
        <v>39</v>
      </c>
      <c r="C25" s="69">
        <v>1642920000</v>
      </c>
      <c r="D25" s="69">
        <v>817860000</v>
      </c>
      <c r="E25" s="70">
        <f t="shared" si="0"/>
        <v>0.49780877949017605</v>
      </c>
      <c r="F25" s="71">
        <v>0.58333333333333337</v>
      </c>
    </row>
    <row r="26" spans="1:6" ht="20.6">
      <c r="A26" s="68" t="s">
        <v>271</v>
      </c>
      <c r="B26" s="68" t="s">
        <v>272</v>
      </c>
      <c r="C26" s="69">
        <v>1620000000</v>
      </c>
      <c r="D26" s="69">
        <v>806400000</v>
      </c>
      <c r="E26" s="70">
        <f t="shared" si="0"/>
        <v>0.49777777777777776</v>
      </c>
      <c r="F26" s="71">
        <v>0.58333333333333337</v>
      </c>
    </row>
    <row r="27" spans="1:6" ht="20.6">
      <c r="A27" s="68" t="s">
        <v>112</v>
      </c>
      <c r="B27" s="68" t="s">
        <v>113</v>
      </c>
      <c r="C27" s="69">
        <v>22920000</v>
      </c>
      <c r="D27" s="69">
        <v>11460000</v>
      </c>
      <c r="E27" s="70">
        <f t="shared" si="0"/>
        <v>0.5</v>
      </c>
      <c r="F27" s="71">
        <v>0.58333333333333337</v>
      </c>
    </row>
    <row r="28" spans="1:6" ht="20.6">
      <c r="A28" s="68"/>
      <c r="B28" s="68" t="s">
        <v>274</v>
      </c>
      <c r="C28" s="69">
        <v>557043600</v>
      </c>
      <c r="D28" s="69">
        <v>91189665</v>
      </c>
      <c r="E28" s="70">
        <f t="shared" si="0"/>
        <v>0.16370292199748818</v>
      </c>
      <c r="F28" s="71">
        <v>0.99865899186347351</v>
      </c>
    </row>
    <row r="29" spans="1:6" ht="20.6">
      <c r="A29" s="68" t="s">
        <v>24</v>
      </c>
      <c r="B29" s="68" t="s">
        <v>25</v>
      </c>
      <c r="C29" s="69">
        <v>557043600</v>
      </c>
      <c r="D29" s="69">
        <v>91189665</v>
      </c>
      <c r="E29" s="70">
        <f t="shared" si="0"/>
        <v>0.16370292199748818</v>
      </c>
      <c r="F29" s="71">
        <v>0.99865899186347351</v>
      </c>
    </row>
    <row r="30" spans="1:6" ht="20.6">
      <c r="A30" s="68" t="s">
        <v>26</v>
      </c>
      <c r="B30" s="68" t="s">
        <v>27</v>
      </c>
      <c r="C30" s="69">
        <v>27393600</v>
      </c>
      <c r="D30" s="69">
        <v>6307265</v>
      </c>
      <c r="E30" s="70">
        <f t="shared" si="0"/>
        <v>0.23024593335669646</v>
      </c>
      <c r="F30" s="71">
        <v>0.97273085684247418</v>
      </c>
    </row>
    <row r="31" spans="1:6" ht="20.6">
      <c r="A31" s="68" t="s">
        <v>28</v>
      </c>
      <c r="B31" s="68" t="s">
        <v>29</v>
      </c>
      <c r="C31" s="69">
        <v>27393600</v>
      </c>
      <c r="D31" s="69">
        <v>6307265</v>
      </c>
      <c r="E31" s="70">
        <f t="shared" si="0"/>
        <v>0.23024593335669646</v>
      </c>
      <c r="F31" s="71">
        <v>0.97273085684247418</v>
      </c>
    </row>
    <row r="32" spans="1:6" ht="20.6">
      <c r="A32" s="68" t="s">
        <v>30</v>
      </c>
      <c r="B32" s="68" t="s">
        <v>31</v>
      </c>
      <c r="C32" s="69">
        <v>1196000</v>
      </c>
      <c r="D32" s="69">
        <v>485625</v>
      </c>
      <c r="E32" s="70">
        <f t="shared" si="0"/>
        <v>0.40604096989966554</v>
      </c>
      <c r="F32" s="71">
        <v>1</v>
      </c>
    </row>
    <row r="33" spans="1:6" ht="20.6">
      <c r="A33" s="68" t="s">
        <v>32</v>
      </c>
      <c r="B33" s="68" t="s">
        <v>33</v>
      </c>
      <c r="C33" s="69">
        <v>1759000</v>
      </c>
      <c r="D33" s="69">
        <v>307470</v>
      </c>
      <c r="E33" s="70">
        <f t="shared" si="0"/>
        <v>0.17479818078453666</v>
      </c>
      <c r="F33" s="71">
        <v>0.78339965889710061</v>
      </c>
    </row>
    <row r="34" spans="1:6" ht="20.6">
      <c r="A34" s="68" t="s">
        <v>237</v>
      </c>
      <c r="B34" s="68" t="s">
        <v>238</v>
      </c>
      <c r="C34" s="69">
        <v>100000</v>
      </c>
      <c r="D34" s="69">
        <v>40000</v>
      </c>
      <c r="E34" s="70">
        <f t="shared" si="0"/>
        <v>0.4</v>
      </c>
      <c r="F34" s="71">
        <v>0.6</v>
      </c>
    </row>
    <row r="35" spans="1:6" ht="20.6">
      <c r="A35" s="68" t="s">
        <v>34</v>
      </c>
      <c r="B35" s="68" t="s">
        <v>35</v>
      </c>
      <c r="C35" s="69">
        <v>1138600</v>
      </c>
      <c r="D35" s="69">
        <v>274170</v>
      </c>
      <c r="E35" s="70">
        <f t="shared" si="0"/>
        <v>0.24079571403477956</v>
      </c>
      <c r="F35" s="71">
        <v>0.71368347092921136</v>
      </c>
    </row>
    <row r="36" spans="1:6" ht="20.6">
      <c r="A36" s="68" t="s">
        <v>275</v>
      </c>
      <c r="B36" s="68" t="s">
        <v>276</v>
      </c>
      <c r="C36" s="69">
        <v>5200000</v>
      </c>
      <c r="D36" s="69">
        <v>5200000</v>
      </c>
      <c r="E36" s="70">
        <f t="shared" si="0"/>
        <v>1</v>
      </c>
      <c r="F36" s="71">
        <v>1</v>
      </c>
    </row>
    <row r="37" spans="1:6" ht="20.6">
      <c r="A37" s="68" t="s">
        <v>137</v>
      </c>
      <c r="B37" s="68" t="s">
        <v>138</v>
      </c>
      <c r="C37" s="69">
        <v>18000000</v>
      </c>
      <c r="D37" s="69" t="s">
        <v>318</v>
      </c>
      <c r="E37" s="70">
        <f t="shared" si="0"/>
        <v>0</v>
      </c>
      <c r="F37" s="71">
        <v>1</v>
      </c>
    </row>
    <row r="38" spans="1:6" ht="20.6">
      <c r="A38" s="68" t="s">
        <v>36</v>
      </c>
      <c r="B38" s="68" t="s">
        <v>37</v>
      </c>
      <c r="C38" s="69">
        <v>513150000</v>
      </c>
      <c r="D38" s="69">
        <v>84882400</v>
      </c>
      <c r="E38" s="70">
        <f t="shared" si="0"/>
        <v>0.16541440124719867</v>
      </c>
      <c r="F38" s="71">
        <v>1</v>
      </c>
    </row>
    <row r="39" spans="1:6" ht="20.6">
      <c r="A39" s="68" t="s">
        <v>38</v>
      </c>
      <c r="B39" s="68" t="s">
        <v>39</v>
      </c>
      <c r="C39" s="69">
        <v>403150000</v>
      </c>
      <c r="D39" s="69">
        <v>700000</v>
      </c>
      <c r="E39" s="70">
        <f t="shared" si="0"/>
        <v>1.7363264293687214E-3</v>
      </c>
      <c r="F39" s="71">
        <v>1</v>
      </c>
    </row>
    <row r="40" spans="1:6" ht="20.6">
      <c r="A40" s="68" t="s">
        <v>255</v>
      </c>
      <c r="B40" s="68" t="s">
        <v>256</v>
      </c>
      <c r="C40" s="69">
        <v>402100000</v>
      </c>
      <c r="D40" s="69">
        <v>400000</v>
      </c>
      <c r="E40" s="70">
        <f t="shared" si="0"/>
        <v>9.947774185525989E-4</v>
      </c>
      <c r="F40" s="71">
        <v>1</v>
      </c>
    </row>
    <row r="41" spans="1:6" ht="20.6">
      <c r="A41" s="68" t="s">
        <v>271</v>
      </c>
      <c r="B41" s="68" t="s">
        <v>272</v>
      </c>
      <c r="C41" s="69">
        <v>1050000</v>
      </c>
      <c r="D41" s="69">
        <v>300000</v>
      </c>
      <c r="E41" s="70">
        <f t="shared" si="0"/>
        <v>0.2857142857142857</v>
      </c>
      <c r="F41" s="71">
        <v>1</v>
      </c>
    </row>
    <row r="42" spans="1:6" ht="20.6">
      <c r="A42" s="68" t="s">
        <v>277</v>
      </c>
      <c r="B42" s="68" t="s">
        <v>278</v>
      </c>
      <c r="C42" s="69">
        <v>20000000</v>
      </c>
      <c r="D42" s="69" t="s">
        <v>318</v>
      </c>
      <c r="E42" s="70">
        <f t="shared" si="0"/>
        <v>0</v>
      </c>
      <c r="F42" s="71">
        <v>1</v>
      </c>
    </row>
    <row r="43" spans="1:6" ht="20.6">
      <c r="A43" s="68" t="s">
        <v>279</v>
      </c>
      <c r="B43" s="68" t="s">
        <v>280</v>
      </c>
      <c r="C43" s="69">
        <v>20000000</v>
      </c>
      <c r="D43" s="69" t="s">
        <v>318</v>
      </c>
      <c r="E43" s="70">
        <f t="shared" si="0"/>
        <v>0</v>
      </c>
      <c r="F43" s="71">
        <v>1</v>
      </c>
    </row>
    <row r="44" spans="1:6" ht="20.6">
      <c r="A44" s="68" t="s">
        <v>281</v>
      </c>
      <c r="B44" s="68" t="s">
        <v>282</v>
      </c>
      <c r="C44" s="69">
        <v>90000000</v>
      </c>
      <c r="D44" s="69">
        <v>84182400</v>
      </c>
      <c r="E44" s="70">
        <f t="shared" si="0"/>
        <v>0.93535999999999997</v>
      </c>
      <c r="F44" s="71">
        <v>1</v>
      </c>
    </row>
    <row r="45" spans="1:6" ht="20.6">
      <c r="A45" s="68" t="s">
        <v>283</v>
      </c>
      <c r="B45" s="68" t="s">
        <v>284</v>
      </c>
      <c r="C45" s="69">
        <v>90000000</v>
      </c>
      <c r="D45" s="69">
        <v>84182400</v>
      </c>
      <c r="E45" s="70">
        <f t="shared" si="0"/>
        <v>0.93535999999999997</v>
      </c>
      <c r="F45" s="71">
        <v>1</v>
      </c>
    </row>
    <row r="46" spans="1:6" ht="20.6">
      <c r="A46" s="68" t="s">
        <v>175</v>
      </c>
      <c r="B46" s="68" t="s">
        <v>176</v>
      </c>
      <c r="C46" s="69">
        <v>16500000</v>
      </c>
      <c r="D46" s="69" t="s">
        <v>318</v>
      </c>
      <c r="E46" s="70">
        <f t="shared" si="0"/>
        <v>0</v>
      </c>
      <c r="F46" s="71">
        <v>1</v>
      </c>
    </row>
    <row r="47" spans="1:6" ht="20.6">
      <c r="A47" s="68" t="s">
        <v>177</v>
      </c>
      <c r="B47" s="68" t="s">
        <v>178</v>
      </c>
      <c r="C47" s="69">
        <v>16500000</v>
      </c>
      <c r="D47" s="69" t="s">
        <v>318</v>
      </c>
      <c r="E47" s="70">
        <f t="shared" si="0"/>
        <v>0</v>
      </c>
      <c r="F47" s="71">
        <v>1</v>
      </c>
    </row>
    <row r="48" spans="1:6" ht="20.6">
      <c r="A48" s="68" t="s">
        <v>179</v>
      </c>
      <c r="B48" s="68" t="s">
        <v>180</v>
      </c>
      <c r="C48" s="69">
        <v>16500000</v>
      </c>
      <c r="D48" s="69" t="s">
        <v>318</v>
      </c>
      <c r="E48" s="70">
        <f t="shared" si="0"/>
        <v>0</v>
      </c>
      <c r="F48" s="71">
        <v>1</v>
      </c>
    </row>
    <row r="49" spans="1:6" ht="20.6">
      <c r="A49" s="68"/>
      <c r="B49" s="68" t="s">
        <v>286</v>
      </c>
      <c r="C49" s="69">
        <v>300747700</v>
      </c>
      <c r="D49" s="69">
        <v>150430730</v>
      </c>
      <c r="E49" s="70">
        <f t="shared" si="0"/>
        <v>0.50018912862841514</v>
      </c>
      <c r="F49" s="71">
        <v>0.58436922377128742</v>
      </c>
    </row>
    <row r="50" spans="1:6" ht="20.6">
      <c r="A50" s="68" t="s">
        <v>24</v>
      </c>
      <c r="B50" s="68" t="s">
        <v>25</v>
      </c>
      <c r="C50" s="69">
        <v>300747700</v>
      </c>
      <c r="D50" s="69">
        <v>150430730</v>
      </c>
      <c r="E50" s="70">
        <f t="shared" si="0"/>
        <v>0.50018912862841514</v>
      </c>
      <c r="F50" s="71">
        <v>0.58436922377128742</v>
      </c>
    </row>
    <row r="51" spans="1:6" ht="20.6">
      <c r="A51" s="68" t="s">
        <v>26</v>
      </c>
      <c r="B51" s="68" t="s">
        <v>27</v>
      </c>
      <c r="C51" s="69">
        <v>747700</v>
      </c>
      <c r="D51" s="69">
        <v>430730</v>
      </c>
      <c r="E51" s="70">
        <f t="shared" si="0"/>
        <v>0.57607329142704289</v>
      </c>
      <c r="F51" s="71">
        <v>1</v>
      </c>
    </row>
    <row r="52" spans="1:6" ht="20.6">
      <c r="A52" s="68" t="s">
        <v>28</v>
      </c>
      <c r="B52" s="68" t="s">
        <v>29</v>
      </c>
      <c r="C52" s="69">
        <v>747700</v>
      </c>
      <c r="D52" s="69">
        <v>430730</v>
      </c>
      <c r="E52" s="70">
        <f t="shared" si="0"/>
        <v>0.57607329142704289</v>
      </c>
      <c r="F52" s="71">
        <v>1</v>
      </c>
    </row>
    <row r="53" spans="1:6" ht="20.6">
      <c r="A53" s="68" t="s">
        <v>30</v>
      </c>
      <c r="B53" s="68" t="s">
        <v>31</v>
      </c>
      <c r="C53" s="69">
        <v>442900</v>
      </c>
      <c r="D53" s="69">
        <v>430730</v>
      </c>
      <c r="E53" s="70">
        <f t="shared" si="0"/>
        <v>0.97252201399864524</v>
      </c>
      <c r="F53" s="71">
        <v>1</v>
      </c>
    </row>
    <row r="54" spans="1:6" ht="20.6">
      <c r="A54" s="68" t="s">
        <v>32</v>
      </c>
      <c r="B54" s="68" t="s">
        <v>33</v>
      </c>
      <c r="C54" s="69">
        <v>304800</v>
      </c>
      <c r="D54" s="69" t="s">
        <v>318</v>
      </c>
      <c r="E54" s="70">
        <f t="shared" si="0"/>
        <v>0</v>
      </c>
      <c r="F54" s="71">
        <v>1</v>
      </c>
    </row>
    <row r="55" spans="1:6" ht="20.6">
      <c r="A55" s="68" t="s">
        <v>36</v>
      </c>
      <c r="B55" s="68" t="s">
        <v>37</v>
      </c>
      <c r="C55" s="69">
        <v>300000000</v>
      </c>
      <c r="D55" s="69">
        <v>150000000</v>
      </c>
      <c r="E55" s="70">
        <f t="shared" si="0"/>
        <v>0.5</v>
      </c>
      <c r="F55" s="71">
        <v>0.58333333333333337</v>
      </c>
    </row>
    <row r="56" spans="1:6" ht="20.6">
      <c r="A56" s="68" t="s">
        <v>38</v>
      </c>
      <c r="B56" s="68" t="s">
        <v>39</v>
      </c>
      <c r="C56" s="69">
        <v>300000000</v>
      </c>
      <c r="D56" s="69">
        <v>150000000</v>
      </c>
      <c r="E56" s="70">
        <f t="shared" si="0"/>
        <v>0.5</v>
      </c>
      <c r="F56" s="71">
        <v>0.58333333333333337</v>
      </c>
    </row>
    <row r="57" spans="1:6" ht="20.6">
      <c r="A57" s="68" t="s">
        <v>259</v>
      </c>
      <c r="B57" s="68" t="s">
        <v>260</v>
      </c>
      <c r="C57" s="69">
        <v>300000000</v>
      </c>
      <c r="D57" s="69">
        <v>150000000</v>
      </c>
      <c r="E57" s="70">
        <f t="shared" si="0"/>
        <v>0.5</v>
      </c>
      <c r="F57" s="71">
        <v>0.58333333333333337</v>
      </c>
    </row>
  </sheetData>
  <pageMargins left="0.7" right="0.7" top="0.75" bottom="0.75" header="0.3" footer="0.3"/>
  <pageSetup paperSize="9" scale="38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35C7-5069-4263-82CB-C90449355173}">
  <dimension ref="A1:F46"/>
  <sheetViews>
    <sheetView view="pageBreakPreview" zoomScale="60" zoomScaleNormal="100" workbookViewId="0">
      <selection activeCell="B3" sqref="B3"/>
    </sheetView>
  </sheetViews>
  <sheetFormatPr defaultRowHeight="14.6"/>
  <cols>
    <col min="2" max="2" width="71" customWidth="1"/>
    <col min="3" max="3" width="22.84375" customWidth="1"/>
    <col min="4" max="4" width="20.53515625" customWidth="1"/>
    <col min="5" max="5" width="19.69140625" style="53" customWidth="1"/>
    <col min="6" max="6" width="34.765625" style="54" customWidth="1"/>
  </cols>
  <sheetData>
    <row r="1" spans="1:6" ht="20.6">
      <c r="A1" s="65"/>
      <c r="B1" s="65" t="s">
        <v>322</v>
      </c>
      <c r="C1" s="65" t="s">
        <v>323</v>
      </c>
      <c r="D1" s="65" t="s">
        <v>324</v>
      </c>
      <c r="E1" s="66" t="s">
        <v>325</v>
      </c>
      <c r="F1" s="67" t="s">
        <v>326</v>
      </c>
    </row>
    <row r="2" spans="1:6" ht="20.6">
      <c r="A2" s="68"/>
      <c r="B2" s="68" t="s">
        <v>294</v>
      </c>
      <c r="C2" s="69">
        <v>53917000</v>
      </c>
      <c r="D2" s="69">
        <v>11582951</v>
      </c>
      <c r="E2" s="70">
        <f t="shared" ref="E2:E46" si="0">D2/C2*100%</f>
        <v>0.21482929317283975</v>
      </c>
      <c r="F2" s="71">
        <v>0.758821892909472</v>
      </c>
    </row>
    <row r="3" spans="1:6" ht="20.6">
      <c r="A3" s="68" t="s">
        <v>24</v>
      </c>
      <c r="B3" s="68" t="s">
        <v>25</v>
      </c>
      <c r="C3" s="69">
        <v>53917000</v>
      </c>
      <c r="D3" s="69">
        <v>11582951</v>
      </c>
      <c r="E3" s="70">
        <f t="shared" si="0"/>
        <v>0.21482929317283975</v>
      </c>
      <c r="F3" s="71">
        <v>0.758821892909472</v>
      </c>
    </row>
    <row r="4" spans="1:6" ht="20.6">
      <c r="A4" s="68" t="s">
        <v>26</v>
      </c>
      <c r="B4" s="68" t="s">
        <v>27</v>
      </c>
      <c r="C4" s="69">
        <v>18593000</v>
      </c>
      <c r="D4" s="69">
        <v>9700951</v>
      </c>
      <c r="E4" s="70">
        <f t="shared" si="0"/>
        <v>0.52175286398106813</v>
      </c>
      <c r="F4" s="71">
        <v>0.77606626149626201</v>
      </c>
    </row>
    <row r="5" spans="1:6" ht="20.6">
      <c r="A5" s="68" t="s">
        <v>28</v>
      </c>
      <c r="B5" s="68" t="s">
        <v>29</v>
      </c>
      <c r="C5" s="69">
        <v>18593000</v>
      </c>
      <c r="D5" s="69">
        <v>9700951</v>
      </c>
      <c r="E5" s="70">
        <f t="shared" si="0"/>
        <v>0.52175286398106813</v>
      </c>
      <c r="F5" s="71">
        <v>0.77606626149626201</v>
      </c>
    </row>
    <row r="6" spans="1:6" ht="20.6">
      <c r="A6" s="68" t="s">
        <v>30</v>
      </c>
      <c r="B6" s="68" t="s">
        <v>31</v>
      </c>
      <c r="C6" s="69">
        <v>10827400</v>
      </c>
      <c r="D6" s="69">
        <v>7750187</v>
      </c>
      <c r="E6" s="70">
        <f t="shared" si="0"/>
        <v>0.71579391174243123</v>
      </c>
      <c r="F6" s="71">
        <v>0.89914476236215524</v>
      </c>
    </row>
    <row r="7" spans="1:6" ht="20.6">
      <c r="A7" s="68" t="s">
        <v>32</v>
      </c>
      <c r="B7" s="68" t="s">
        <v>33</v>
      </c>
      <c r="C7" s="69">
        <v>1944000</v>
      </c>
      <c r="D7" s="69">
        <v>1900764</v>
      </c>
      <c r="E7" s="70">
        <f t="shared" si="0"/>
        <v>0.97775925925925922</v>
      </c>
      <c r="F7" s="71">
        <v>1</v>
      </c>
    </row>
    <row r="8" spans="1:6" ht="20.6">
      <c r="A8" s="68" t="s">
        <v>237</v>
      </c>
      <c r="B8" s="68" t="s">
        <v>238</v>
      </c>
      <c r="C8" s="69">
        <v>50000</v>
      </c>
      <c r="D8" s="69">
        <v>50000</v>
      </c>
      <c r="E8" s="70">
        <f t="shared" si="0"/>
        <v>1</v>
      </c>
      <c r="F8" s="71">
        <v>1</v>
      </c>
    </row>
    <row r="9" spans="1:6" ht="20.6">
      <c r="A9" s="68" t="s">
        <v>34</v>
      </c>
      <c r="B9" s="68" t="s">
        <v>35</v>
      </c>
      <c r="C9" s="69">
        <v>1721600</v>
      </c>
      <c r="D9" s="69" t="s">
        <v>318</v>
      </c>
      <c r="E9" s="70">
        <f t="shared" si="0"/>
        <v>0</v>
      </c>
      <c r="F9" s="71">
        <v>0</v>
      </c>
    </row>
    <row r="10" spans="1:6" ht="20.6">
      <c r="A10" s="68" t="s">
        <v>137</v>
      </c>
      <c r="B10" s="68" t="s">
        <v>138</v>
      </c>
      <c r="C10" s="69">
        <v>4050000</v>
      </c>
      <c r="D10" s="69" t="s">
        <v>318</v>
      </c>
      <c r="E10" s="70">
        <f t="shared" si="0"/>
        <v>0</v>
      </c>
      <c r="F10" s="71">
        <v>0.66666666666666663</v>
      </c>
    </row>
    <row r="11" spans="1:6" ht="20.6">
      <c r="A11" s="68" t="s">
        <v>36</v>
      </c>
      <c r="B11" s="68" t="s">
        <v>37</v>
      </c>
      <c r="C11" s="69">
        <v>2244000</v>
      </c>
      <c r="D11" s="69">
        <v>1122000</v>
      </c>
      <c r="E11" s="70">
        <f t="shared" si="0"/>
        <v>0.5</v>
      </c>
      <c r="F11" s="71">
        <v>1</v>
      </c>
    </row>
    <row r="12" spans="1:6" ht="20.6">
      <c r="A12" s="68" t="s">
        <v>38</v>
      </c>
      <c r="B12" s="68" t="s">
        <v>39</v>
      </c>
      <c r="C12" s="69">
        <v>2244000</v>
      </c>
      <c r="D12" s="69">
        <v>1122000</v>
      </c>
      <c r="E12" s="70">
        <f t="shared" si="0"/>
        <v>0.5</v>
      </c>
      <c r="F12" s="71">
        <v>1</v>
      </c>
    </row>
    <row r="13" spans="1:6" ht="20.6">
      <c r="A13" s="68" t="s">
        <v>40</v>
      </c>
      <c r="B13" s="68" t="s">
        <v>41</v>
      </c>
      <c r="C13" s="69">
        <v>2244000</v>
      </c>
      <c r="D13" s="69">
        <v>1122000</v>
      </c>
      <c r="E13" s="70">
        <f t="shared" si="0"/>
        <v>0.5</v>
      </c>
      <c r="F13" s="71">
        <v>1</v>
      </c>
    </row>
    <row r="14" spans="1:6" ht="20.6">
      <c r="A14" s="68" t="s">
        <v>42</v>
      </c>
      <c r="B14" s="68" t="s">
        <v>43</v>
      </c>
      <c r="C14" s="69">
        <v>33080000</v>
      </c>
      <c r="D14" s="69">
        <v>760000</v>
      </c>
      <c r="E14" s="70">
        <f t="shared" si="0"/>
        <v>2.2974607013301087E-2</v>
      </c>
      <c r="F14" s="71">
        <v>0.73276904474002413</v>
      </c>
    </row>
    <row r="15" spans="1:6" ht="20.6">
      <c r="A15" s="68" t="s">
        <v>44</v>
      </c>
      <c r="B15" s="68" t="s">
        <v>45</v>
      </c>
      <c r="C15" s="69">
        <v>33080000</v>
      </c>
      <c r="D15" s="69">
        <v>760000</v>
      </c>
      <c r="E15" s="70">
        <f t="shared" si="0"/>
        <v>2.2974607013301087E-2</v>
      </c>
      <c r="F15" s="71">
        <v>0.73276904474002413</v>
      </c>
    </row>
    <row r="16" spans="1:6" ht="20.6">
      <c r="A16" s="68" t="s">
        <v>46</v>
      </c>
      <c r="B16" s="68" t="s">
        <v>47</v>
      </c>
      <c r="C16" s="69">
        <v>33080000</v>
      </c>
      <c r="D16" s="69">
        <v>760000</v>
      </c>
      <c r="E16" s="70">
        <f t="shared" si="0"/>
        <v>2.2974607013301087E-2</v>
      </c>
      <c r="F16" s="71">
        <v>0.73276904474002413</v>
      </c>
    </row>
    <row r="17" spans="1:6" ht="20.6">
      <c r="A17" s="68"/>
      <c r="B17" s="68" t="s">
        <v>296</v>
      </c>
      <c r="C17" s="69">
        <v>95972600</v>
      </c>
      <c r="D17" s="69">
        <v>42518464</v>
      </c>
      <c r="E17" s="70">
        <f t="shared" si="0"/>
        <v>0.4430271139887843</v>
      </c>
      <c r="F17" s="71">
        <v>0.53471094874995573</v>
      </c>
    </row>
    <row r="18" spans="1:6" ht="20.6">
      <c r="A18" s="68" t="s">
        <v>24</v>
      </c>
      <c r="B18" s="68" t="s">
        <v>25</v>
      </c>
      <c r="C18" s="69">
        <v>95972600</v>
      </c>
      <c r="D18" s="69">
        <v>42518464</v>
      </c>
      <c r="E18" s="70">
        <f t="shared" si="0"/>
        <v>0.4430271139887843</v>
      </c>
      <c r="F18" s="71">
        <v>0.53471094874995573</v>
      </c>
    </row>
    <row r="19" spans="1:6" ht="20.6">
      <c r="A19" s="68" t="s">
        <v>26</v>
      </c>
      <c r="B19" s="68" t="s">
        <v>27</v>
      </c>
      <c r="C19" s="69">
        <v>20074600</v>
      </c>
      <c r="D19" s="69">
        <v>5308464</v>
      </c>
      <c r="E19" s="70">
        <f t="shared" si="0"/>
        <v>0.26443685054745797</v>
      </c>
      <c r="F19" s="71">
        <v>0.34718499995018581</v>
      </c>
    </row>
    <row r="20" spans="1:6" ht="20.6">
      <c r="A20" s="68" t="s">
        <v>28</v>
      </c>
      <c r="B20" s="68" t="s">
        <v>29</v>
      </c>
      <c r="C20" s="69">
        <v>20074600</v>
      </c>
      <c r="D20" s="69">
        <v>5308464</v>
      </c>
      <c r="E20" s="70">
        <f t="shared" si="0"/>
        <v>0.26443685054745797</v>
      </c>
      <c r="F20" s="71">
        <v>0.34718499995018581</v>
      </c>
    </row>
    <row r="21" spans="1:6" ht="20.6">
      <c r="A21" s="68" t="s">
        <v>30</v>
      </c>
      <c r="B21" s="68" t="s">
        <v>31</v>
      </c>
      <c r="C21" s="69">
        <v>16381000</v>
      </c>
      <c r="D21" s="69">
        <v>3093903</v>
      </c>
      <c r="E21" s="70">
        <f t="shared" si="0"/>
        <v>0.18887143642024296</v>
      </c>
      <c r="F21" s="71">
        <v>0.19998779073316647</v>
      </c>
    </row>
    <row r="22" spans="1:6" ht="20.6">
      <c r="A22" s="68" t="s">
        <v>32</v>
      </c>
      <c r="B22" s="68" t="s">
        <v>33</v>
      </c>
      <c r="C22" s="69">
        <v>762000</v>
      </c>
      <c r="D22" s="69">
        <v>698745</v>
      </c>
      <c r="E22" s="70">
        <f t="shared" si="0"/>
        <v>0.9169881889763779</v>
      </c>
      <c r="F22" s="71">
        <v>1</v>
      </c>
    </row>
    <row r="23" spans="1:6" ht="20.6">
      <c r="A23" s="68" t="s">
        <v>34</v>
      </c>
      <c r="B23" s="68" t="s">
        <v>35</v>
      </c>
      <c r="C23" s="69">
        <v>1581600</v>
      </c>
      <c r="D23" s="69">
        <v>1515816</v>
      </c>
      <c r="E23" s="70">
        <f t="shared" si="0"/>
        <v>0.95840667678300451</v>
      </c>
      <c r="F23" s="71">
        <v>1</v>
      </c>
    </row>
    <row r="24" spans="1:6" ht="20.6">
      <c r="A24" s="68" t="s">
        <v>137</v>
      </c>
      <c r="B24" s="68" t="s">
        <v>138</v>
      </c>
      <c r="C24" s="69">
        <v>1350000</v>
      </c>
      <c r="D24" s="69" t="s">
        <v>318</v>
      </c>
      <c r="E24" s="70">
        <f t="shared" si="0"/>
        <v>0</v>
      </c>
      <c r="F24" s="71">
        <v>1</v>
      </c>
    </row>
    <row r="25" spans="1:6" ht="20.6">
      <c r="A25" s="68" t="s">
        <v>36</v>
      </c>
      <c r="B25" s="68" t="s">
        <v>37</v>
      </c>
      <c r="C25" s="69">
        <v>74398000</v>
      </c>
      <c r="D25" s="69">
        <v>37210000</v>
      </c>
      <c r="E25" s="70">
        <f t="shared" si="0"/>
        <v>0.50014785343692036</v>
      </c>
      <c r="F25" s="71">
        <v>0.5960912927766876</v>
      </c>
    </row>
    <row r="26" spans="1:6" ht="20.6">
      <c r="A26" s="68" t="s">
        <v>38</v>
      </c>
      <c r="B26" s="68" t="s">
        <v>39</v>
      </c>
      <c r="C26" s="69">
        <v>74398000</v>
      </c>
      <c r="D26" s="69">
        <v>37210000</v>
      </c>
      <c r="E26" s="70">
        <f t="shared" si="0"/>
        <v>0.50014785343692036</v>
      </c>
      <c r="F26" s="71">
        <v>0.5960912927766876</v>
      </c>
    </row>
    <row r="27" spans="1:6" ht="20.6">
      <c r="A27" s="68" t="s">
        <v>259</v>
      </c>
      <c r="B27" s="68" t="s">
        <v>260</v>
      </c>
      <c r="C27" s="69">
        <v>60000000</v>
      </c>
      <c r="D27" s="69">
        <v>30000000</v>
      </c>
      <c r="E27" s="70">
        <f t="shared" si="0"/>
        <v>0.5</v>
      </c>
      <c r="F27" s="71">
        <v>0.58333333333333337</v>
      </c>
    </row>
    <row r="28" spans="1:6" ht="20.6">
      <c r="A28" s="68" t="s">
        <v>40</v>
      </c>
      <c r="B28" s="68" t="s">
        <v>41</v>
      </c>
      <c r="C28" s="69">
        <v>2278000</v>
      </c>
      <c r="D28" s="69">
        <v>1150000</v>
      </c>
      <c r="E28" s="70">
        <f t="shared" si="0"/>
        <v>0.50482879719051799</v>
      </c>
      <c r="F28" s="71">
        <v>1</v>
      </c>
    </row>
    <row r="29" spans="1:6" ht="20.6">
      <c r="A29" s="68" t="s">
        <v>112</v>
      </c>
      <c r="B29" s="68" t="s">
        <v>113</v>
      </c>
      <c r="C29" s="69">
        <v>12120000</v>
      </c>
      <c r="D29" s="69">
        <v>6060000</v>
      </c>
      <c r="E29" s="70">
        <f t="shared" si="0"/>
        <v>0.5</v>
      </c>
      <c r="F29" s="71">
        <v>0.58333333333333337</v>
      </c>
    </row>
    <row r="30" spans="1:6" ht="20.6">
      <c r="A30" s="68" t="s">
        <v>175</v>
      </c>
      <c r="B30" s="68" t="s">
        <v>176</v>
      </c>
      <c r="C30" s="69">
        <v>1500000</v>
      </c>
      <c r="D30" s="69" t="s">
        <v>318</v>
      </c>
      <c r="E30" s="70">
        <f t="shared" si="0"/>
        <v>0</v>
      </c>
      <c r="F30" s="71">
        <v>0</v>
      </c>
    </row>
    <row r="31" spans="1:6" ht="20.6">
      <c r="A31" s="68" t="s">
        <v>177</v>
      </c>
      <c r="B31" s="68" t="s">
        <v>178</v>
      </c>
      <c r="C31" s="69">
        <v>1500000</v>
      </c>
      <c r="D31" s="69" t="s">
        <v>318</v>
      </c>
      <c r="E31" s="70">
        <f t="shared" si="0"/>
        <v>0</v>
      </c>
      <c r="F31" s="71">
        <v>0</v>
      </c>
    </row>
    <row r="32" spans="1:6" ht="20.6">
      <c r="A32" s="68" t="s">
        <v>179</v>
      </c>
      <c r="B32" s="68" t="s">
        <v>180</v>
      </c>
      <c r="C32" s="69">
        <v>1500000</v>
      </c>
      <c r="D32" s="69" t="s">
        <v>318</v>
      </c>
      <c r="E32" s="70">
        <f t="shared" si="0"/>
        <v>0</v>
      </c>
      <c r="F32" s="71">
        <v>0</v>
      </c>
    </row>
    <row r="33" spans="1:6" ht="20.6">
      <c r="A33" s="68"/>
      <c r="B33" s="68" t="s">
        <v>298</v>
      </c>
      <c r="C33" s="69">
        <v>10000000</v>
      </c>
      <c r="D33" s="69" t="s">
        <v>318</v>
      </c>
      <c r="E33" s="70">
        <f t="shared" si="0"/>
        <v>0</v>
      </c>
      <c r="F33" s="71">
        <v>1</v>
      </c>
    </row>
    <row r="34" spans="1:6" ht="20.6">
      <c r="A34" s="68" t="s">
        <v>24</v>
      </c>
      <c r="B34" s="68" t="s">
        <v>25</v>
      </c>
      <c r="C34" s="69">
        <v>10000000</v>
      </c>
      <c r="D34" s="69" t="s">
        <v>318</v>
      </c>
      <c r="E34" s="70">
        <f t="shared" si="0"/>
        <v>0</v>
      </c>
      <c r="F34" s="71">
        <v>1</v>
      </c>
    </row>
    <row r="35" spans="1:6" ht="20.6">
      <c r="A35" s="68" t="s">
        <v>26</v>
      </c>
      <c r="B35" s="68" t="s">
        <v>27</v>
      </c>
      <c r="C35" s="69">
        <v>4300000</v>
      </c>
      <c r="D35" s="69" t="s">
        <v>318</v>
      </c>
      <c r="E35" s="70">
        <f t="shared" si="0"/>
        <v>0</v>
      </c>
      <c r="F35" s="71">
        <v>1</v>
      </c>
    </row>
    <row r="36" spans="1:6" ht="20.6">
      <c r="A36" s="68" t="s">
        <v>28</v>
      </c>
      <c r="B36" s="68" t="s">
        <v>29</v>
      </c>
      <c r="C36" s="69">
        <v>4300000</v>
      </c>
      <c r="D36" s="69" t="s">
        <v>318</v>
      </c>
      <c r="E36" s="70">
        <f t="shared" si="0"/>
        <v>0</v>
      </c>
      <c r="F36" s="71">
        <v>1</v>
      </c>
    </row>
    <row r="37" spans="1:6" ht="20.6">
      <c r="A37" s="68" t="s">
        <v>30</v>
      </c>
      <c r="B37" s="68" t="s">
        <v>31</v>
      </c>
      <c r="C37" s="69">
        <v>1771800</v>
      </c>
      <c r="D37" s="69" t="s">
        <v>318</v>
      </c>
      <c r="E37" s="70">
        <f t="shared" si="0"/>
        <v>0</v>
      </c>
      <c r="F37" s="71">
        <v>1</v>
      </c>
    </row>
    <row r="38" spans="1:6" ht="20.6">
      <c r="A38" s="68" t="s">
        <v>32</v>
      </c>
      <c r="B38" s="68" t="s">
        <v>33</v>
      </c>
      <c r="C38" s="69">
        <v>137800</v>
      </c>
      <c r="D38" s="69" t="s">
        <v>318</v>
      </c>
      <c r="E38" s="70">
        <f t="shared" si="0"/>
        <v>0</v>
      </c>
      <c r="F38" s="71">
        <v>1</v>
      </c>
    </row>
    <row r="39" spans="1:6" ht="20.6">
      <c r="A39" s="68" t="s">
        <v>34</v>
      </c>
      <c r="B39" s="68" t="s">
        <v>35</v>
      </c>
      <c r="C39" s="69">
        <v>465400</v>
      </c>
      <c r="D39" s="69" t="s">
        <v>318</v>
      </c>
      <c r="E39" s="70">
        <f t="shared" si="0"/>
        <v>0</v>
      </c>
      <c r="F39" s="71">
        <v>1</v>
      </c>
    </row>
    <row r="40" spans="1:6" ht="20.6">
      <c r="A40" s="68" t="s">
        <v>137</v>
      </c>
      <c r="B40" s="68" t="s">
        <v>138</v>
      </c>
      <c r="C40" s="69">
        <v>1925000</v>
      </c>
      <c r="D40" s="69" t="s">
        <v>318</v>
      </c>
      <c r="E40" s="70">
        <f t="shared" si="0"/>
        <v>0</v>
      </c>
      <c r="F40" s="71">
        <v>1</v>
      </c>
    </row>
    <row r="41" spans="1:6" ht="20.6">
      <c r="A41" s="68" t="s">
        <v>36</v>
      </c>
      <c r="B41" s="68" t="s">
        <v>37</v>
      </c>
      <c r="C41" s="69">
        <v>4200000</v>
      </c>
      <c r="D41" s="69" t="s">
        <v>318</v>
      </c>
      <c r="E41" s="70">
        <f t="shared" si="0"/>
        <v>0</v>
      </c>
      <c r="F41" s="71">
        <v>1</v>
      </c>
    </row>
    <row r="42" spans="1:6" ht="20.6">
      <c r="A42" s="68" t="s">
        <v>38</v>
      </c>
      <c r="B42" s="68" t="s">
        <v>39</v>
      </c>
      <c r="C42" s="69">
        <v>4200000</v>
      </c>
      <c r="D42" s="69" t="s">
        <v>318</v>
      </c>
      <c r="E42" s="70">
        <f t="shared" si="0"/>
        <v>0</v>
      </c>
      <c r="F42" s="71">
        <v>1</v>
      </c>
    </row>
    <row r="43" spans="1:6" ht="20.6">
      <c r="A43" s="68" t="s">
        <v>247</v>
      </c>
      <c r="B43" s="68" t="s">
        <v>248</v>
      </c>
      <c r="C43" s="69">
        <v>4200000</v>
      </c>
      <c r="D43" s="69" t="s">
        <v>318</v>
      </c>
      <c r="E43" s="70">
        <f t="shared" si="0"/>
        <v>0</v>
      </c>
      <c r="F43" s="71">
        <v>1</v>
      </c>
    </row>
    <row r="44" spans="1:6" ht="20.6">
      <c r="A44" s="68" t="s">
        <v>42</v>
      </c>
      <c r="B44" s="68" t="s">
        <v>43</v>
      </c>
      <c r="C44" s="69">
        <v>1500000</v>
      </c>
      <c r="D44" s="69" t="s">
        <v>318</v>
      </c>
      <c r="E44" s="70">
        <f t="shared" si="0"/>
        <v>0</v>
      </c>
      <c r="F44" s="71">
        <v>1</v>
      </c>
    </row>
    <row r="45" spans="1:6" ht="20.6">
      <c r="A45" s="68" t="s">
        <v>44</v>
      </c>
      <c r="B45" s="68" t="s">
        <v>45</v>
      </c>
      <c r="C45" s="69">
        <v>1500000</v>
      </c>
      <c r="D45" s="69" t="s">
        <v>318</v>
      </c>
      <c r="E45" s="70">
        <f t="shared" si="0"/>
        <v>0</v>
      </c>
      <c r="F45" s="71">
        <v>1</v>
      </c>
    </row>
    <row r="46" spans="1:6" ht="20.6">
      <c r="A46" s="68" t="s">
        <v>249</v>
      </c>
      <c r="B46" s="68" t="s">
        <v>250</v>
      </c>
      <c r="C46" s="69">
        <v>1500000</v>
      </c>
      <c r="D46" s="69" t="s">
        <v>318</v>
      </c>
      <c r="E46" s="70">
        <f t="shared" si="0"/>
        <v>0</v>
      </c>
      <c r="F46" s="71">
        <v>1</v>
      </c>
    </row>
  </sheetData>
  <pageMargins left="0.7" right="0.7" top="0.75" bottom="0.75" header="0.3" footer="0.3"/>
  <pageSetup paperSize="9" scale="4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D4E5-31AA-40BB-AC52-9F3A8CA13471}">
  <dimension ref="A1:F44"/>
  <sheetViews>
    <sheetView view="pageBreakPreview" zoomScale="60" zoomScaleNormal="100" workbookViewId="0">
      <selection activeCell="B39" sqref="B39"/>
    </sheetView>
  </sheetViews>
  <sheetFormatPr defaultRowHeight="14.6"/>
  <cols>
    <col min="2" max="2" width="90.23046875" customWidth="1"/>
    <col min="3" max="3" width="18.07421875" customWidth="1"/>
    <col min="4" max="4" width="17.69140625" customWidth="1"/>
    <col min="5" max="5" width="18.765625" style="53" customWidth="1"/>
    <col min="6" max="6" width="31.3046875" style="54" customWidth="1"/>
  </cols>
  <sheetData>
    <row r="1" spans="1:6" ht="18.45">
      <c r="A1" s="58"/>
      <c r="B1" s="58" t="s">
        <v>322</v>
      </c>
      <c r="C1" s="58" t="s">
        <v>323</v>
      </c>
      <c r="D1" s="58" t="s">
        <v>324</v>
      </c>
      <c r="E1" s="59" t="s">
        <v>325</v>
      </c>
      <c r="F1" s="60" t="s">
        <v>326</v>
      </c>
    </row>
    <row r="2" spans="1:6" ht="18.45">
      <c r="A2" s="61"/>
      <c r="B2" s="61" t="s">
        <v>306</v>
      </c>
      <c r="C2" s="62">
        <v>9591500</v>
      </c>
      <c r="D2" s="62" t="s">
        <v>318</v>
      </c>
      <c r="E2" s="63">
        <f t="shared" ref="E2:E44" si="0">D2/C2*100%</f>
        <v>0</v>
      </c>
      <c r="F2" s="64">
        <v>0.81009226919668453</v>
      </c>
    </row>
    <row r="3" spans="1:6" ht="18.45">
      <c r="A3" s="61" t="s">
        <v>24</v>
      </c>
      <c r="B3" s="61" t="s">
        <v>25</v>
      </c>
      <c r="C3" s="62">
        <v>9591500</v>
      </c>
      <c r="D3" s="62" t="s">
        <v>318</v>
      </c>
      <c r="E3" s="63">
        <f t="shared" si="0"/>
        <v>0</v>
      </c>
      <c r="F3" s="64">
        <v>0.81009226919668453</v>
      </c>
    </row>
    <row r="4" spans="1:6" ht="18.45">
      <c r="A4" s="61" t="s">
        <v>26</v>
      </c>
      <c r="B4" s="61" t="s">
        <v>27</v>
      </c>
      <c r="C4" s="62">
        <v>1821500</v>
      </c>
      <c r="D4" s="62" t="s">
        <v>318</v>
      </c>
      <c r="E4" s="63">
        <f t="shared" si="0"/>
        <v>0</v>
      </c>
      <c r="F4" s="64">
        <v>0</v>
      </c>
    </row>
    <row r="5" spans="1:6" ht="18.45">
      <c r="A5" s="61" t="s">
        <v>28</v>
      </c>
      <c r="B5" s="61" t="s">
        <v>29</v>
      </c>
      <c r="C5" s="62">
        <v>1821500</v>
      </c>
      <c r="D5" s="62" t="s">
        <v>318</v>
      </c>
      <c r="E5" s="63">
        <f t="shared" si="0"/>
        <v>0</v>
      </c>
      <c r="F5" s="64">
        <v>0</v>
      </c>
    </row>
    <row r="6" spans="1:6" ht="18.45">
      <c r="A6" s="61" t="s">
        <v>30</v>
      </c>
      <c r="B6" s="61" t="s">
        <v>31</v>
      </c>
      <c r="C6" s="62">
        <v>1393300</v>
      </c>
      <c r="D6" s="62" t="s">
        <v>318</v>
      </c>
      <c r="E6" s="63">
        <f t="shared" si="0"/>
        <v>0</v>
      </c>
      <c r="F6" s="64">
        <v>0</v>
      </c>
    </row>
    <row r="7" spans="1:6" ht="18.45">
      <c r="A7" s="61" t="s">
        <v>32</v>
      </c>
      <c r="B7" s="61" t="s">
        <v>33</v>
      </c>
      <c r="C7" s="62">
        <v>137800</v>
      </c>
      <c r="D7" s="62" t="s">
        <v>318</v>
      </c>
      <c r="E7" s="63">
        <f t="shared" si="0"/>
        <v>0</v>
      </c>
      <c r="F7" s="64">
        <v>0</v>
      </c>
    </row>
    <row r="8" spans="1:6" ht="18.45">
      <c r="A8" s="61" t="s">
        <v>237</v>
      </c>
      <c r="B8" s="61" t="s">
        <v>238</v>
      </c>
      <c r="C8" s="62">
        <v>100000</v>
      </c>
      <c r="D8" s="62" t="s">
        <v>318</v>
      </c>
      <c r="E8" s="63">
        <f t="shared" si="0"/>
        <v>0</v>
      </c>
      <c r="F8" s="64">
        <v>0</v>
      </c>
    </row>
    <row r="9" spans="1:6" ht="18.45">
      <c r="A9" s="61" t="s">
        <v>34</v>
      </c>
      <c r="B9" s="61" t="s">
        <v>35</v>
      </c>
      <c r="C9" s="62">
        <v>190400</v>
      </c>
      <c r="D9" s="62" t="s">
        <v>318</v>
      </c>
      <c r="E9" s="63">
        <f t="shared" si="0"/>
        <v>0</v>
      </c>
      <c r="F9" s="64">
        <v>0</v>
      </c>
    </row>
    <row r="10" spans="1:6" ht="18.45">
      <c r="A10" s="61" t="s">
        <v>42</v>
      </c>
      <c r="B10" s="61" t="s">
        <v>43</v>
      </c>
      <c r="C10" s="62">
        <v>7770000</v>
      </c>
      <c r="D10" s="62" t="s">
        <v>318</v>
      </c>
      <c r="E10" s="63">
        <f t="shared" si="0"/>
        <v>0</v>
      </c>
      <c r="F10" s="64">
        <v>1</v>
      </c>
    </row>
    <row r="11" spans="1:6" ht="18.45">
      <c r="A11" s="61" t="s">
        <v>44</v>
      </c>
      <c r="B11" s="61" t="s">
        <v>45</v>
      </c>
      <c r="C11" s="62">
        <v>7770000</v>
      </c>
      <c r="D11" s="62" t="s">
        <v>318</v>
      </c>
      <c r="E11" s="63">
        <f t="shared" si="0"/>
        <v>0</v>
      </c>
      <c r="F11" s="64">
        <v>1</v>
      </c>
    </row>
    <row r="12" spans="1:6" ht="18.45">
      <c r="A12" s="61" t="s">
        <v>46</v>
      </c>
      <c r="B12" s="61" t="s">
        <v>47</v>
      </c>
      <c r="C12" s="62">
        <v>7770000</v>
      </c>
      <c r="D12" s="62" t="s">
        <v>318</v>
      </c>
      <c r="E12" s="63">
        <f t="shared" si="0"/>
        <v>0</v>
      </c>
      <c r="F12" s="64">
        <v>1</v>
      </c>
    </row>
    <row r="13" spans="1:6" ht="18.45">
      <c r="A13" s="61"/>
      <c r="B13" s="61" t="s">
        <v>308</v>
      </c>
      <c r="C13" s="62">
        <v>62702200</v>
      </c>
      <c r="D13" s="62">
        <v>31544110</v>
      </c>
      <c r="E13" s="63">
        <f t="shared" si="0"/>
        <v>0.50307820140282156</v>
      </c>
      <c r="F13" s="64">
        <v>0.58310872664754987</v>
      </c>
    </row>
    <row r="14" spans="1:6" ht="18.45">
      <c r="A14" s="61" t="s">
        <v>24</v>
      </c>
      <c r="B14" s="61" t="s">
        <v>25</v>
      </c>
      <c r="C14" s="62">
        <v>62702200</v>
      </c>
      <c r="D14" s="62">
        <v>31544110</v>
      </c>
      <c r="E14" s="63">
        <f t="shared" si="0"/>
        <v>0.50307820140282156</v>
      </c>
      <c r="F14" s="64">
        <v>0.58310872664754987</v>
      </c>
    </row>
    <row r="15" spans="1:6" ht="18.45">
      <c r="A15" s="61" t="s">
        <v>26</v>
      </c>
      <c r="B15" s="61" t="s">
        <v>27</v>
      </c>
      <c r="C15" s="62">
        <v>1562200</v>
      </c>
      <c r="D15" s="62">
        <v>1544110</v>
      </c>
      <c r="E15" s="63">
        <f t="shared" si="0"/>
        <v>0.98842017667392135</v>
      </c>
      <c r="F15" s="64">
        <v>1</v>
      </c>
    </row>
    <row r="16" spans="1:6" ht="18.45">
      <c r="A16" s="61" t="s">
        <v>28</v>
      </c>
      <c r="B16" s="61" t="s">
        <v>29</v>
      </c>
      <c r="C16" s="62">
        <v>1562200</v>
      </c>
      <c r="D16" s="62">
        <v>1544110</v>
      </c>
      <c r="E16" s="63">
        <f t="shared" si="0"/>
        <v>0.98842017667392135</v>
      </c>
      <c r="F16" s="64">
        <v>1</v>
      </c>
    </row>
    <row r="17" spans="1:6" ht="18.45">
      <c r="A17" s="61" t="s">
        <v>30</v>
      </c>
      <c r="B17" s="61" t="s">
        <v>31</v>
      </c>
      <c r="C17" s="62">
        <v>1044700</v>
      </c>
      <c r="D17" s="62">
        <v>1034520</v>
      </c>
      <c r="E17" s="63">
        <f t="shared" si="0"/>
        <v>0.99025557576337708</v>
      </c>
      <c r="F17" s="64">
        <v>1</v>
      </c>
    </row>
    <row r="18" spans="1:6" ht="18.45">
      <c r="A18" s="61" t="s">
        <v>32</v>
      </c>
      <c r="B18" s="61" t="s">
        <v>33</v>
      </c>
      <c r="C18" s="62">
        <v>137800</v>
      </c>
      <c r="D18" s="62">
        <v>134310</v>
      </c>
      <c r="E18" s="63">
        <f t="shared" si="0"/>
        <v>0.97467343976777943</v>
      </c>
      <c r="F18" s="64">
        <v>1</v>
      </c>
    </row>
    <row r="19" spans="1:6" ht="18.45">
      <c r="A19" s="61" t="s">
        <v>237</v>
      </c>
      <c r="B19" s="61" t="s">
        <v>238</v>
      </c>
      <c r="C19" s="62">
        <v>100000</v>
      </c>
      <c r="D19" s="62">
        <v>100000</v>
      </c>
      <c r="E19" s="63">
        <f t="shared" si="0"/>
        <v>1</v>
      </c>
      <c r="F19" s="64">
        <v>1</v>
      </c>
    </row>
    <row r="20" spans="1:6" ht="18.45">
      <c r="A20" s="61" t="s">
        <v>34</v>
      </c>
      <c r="B20" s="61" t="s">
        <v>35</v>
      </c>
      <c r="C20" s="62">
        <v>279700</v>
      </c>
      <c r="D20" s="62">
        <v>275280</v>
      </c>
      <c r="E20" s="63">
        <f t="shared" si="0"/>
        <v>0.98419735430818733</v>
      </c>
      <c r="F20" s="64">
        <v>1</v>
      </c>
    </row>
    <row r="21" spans="1:6" ht="18.45">
      <c r="A21" s="61" t="s">
        <v>36</v>
      </c>
      <c r="B21" s="61" t="s">
        <v>37</v>
      </c>
      <c r="C21" s="62">
        <v>60000000</v>
      </c>
      <c r="D21" s="62">
        <v>30000000</v>
      </c>
      <c r="E21" s="63">
        <f t="shared" si="0"/>
        <v>0.5</v>
      </c>
      <c r="F21" s="64">
        <v>0.58333333333333337</v>
      </c>
    </row>
    <row r="22" spans="1:6" ht="18.45">
      <c r="A22" s="61" t="s">
        <v>38</v>
      </c>
      <c r="B22" s="61" t="s">
        <v>39</v>
      </c>
      <c r="C22" s="62">
        <v>60000000</v>
      </c>
      <c r="D22" s="62">
        <v>30000000</v>
      </c>
      <c r="E22" s="63">
        <f t="shared" si="0"/>
        <v>0.5</v>
      </c>
      <c r="F22" s="64">
        <v>0.58333333333333337</v>
      </c>
    </row>
    <row r="23" spans="1:6" ht="18.45">
      <c r="A23" s="61" t="s">
        <v>259</v>
      </c>
      <c r="B23" s="61" t="s">
        <v>260</v>
      </c>
      <c r="C23" s="62">
        <v>60000000</v>
      </c>
      <c r="D23" s="62">
        <v>30000000</v>
      </c>
      <c r="E23" s="63">
        <f t="shared" si="0"/>
        <v>0.5</v>
      </c>
      <c r="F23" s="64">
        <v>0.58333333333333337</v>
      </c>
    </row>
    <row r="24" spans="1:6" ht="18.45">
      <c r="A24" s="61" t="s">
        <v>42</v>
      </c>
      <c r="B24" s="61" t="s">
        <v>43</v>
      </c>
      <c r="C24" s="62">
        <v>1140000</v>
      </c>
      <c r="D24" s="62" t="s">
        <v>318</v>
      </c>
      <c r="E24" s="63">
        <f t="shared" si="0"/>
        <v>0</v>
      </c>
      <c r="F24" s="64">
        <v>0</v>
      </c>
    </row>
    <row r="25" spans="1:6" ht="18.45">
      <c r="A25" s="61" t="s">
        <v>44</v>
      </c>
      <c r="B25" s="61" t="s">
        <v>45</v>
      </c>
      <c r="C25" s="62">
        <v>1140000</v>
      </c>
      <c r="D25" s="62" t="s">
        <v>318</v>
      </c>
      <c r="E25" s="63">
        <f t="shared" si="0"/>
        <v>0</v>
      </c>
      <c r="F25" s="64">
        <v>0</v>
      </c>
    </row>
    <row r="26" spans="1:6" ht="18.45">
      <c r="A26" s="61" t="s">
        <v>46</v>
      </c>
      <c r="B26" s="61" t="s">
        <v>47</v>
      </c>
      <c r="C26" s="62">
        <v>1140000</v>
      </c>
      <c r="D26" s="62" t="s">
        <v>318</v>
      </c>
      <c r="E26" s="63">
        <f t="shared" si="0"/>
        <v>0</v>
      </c>
      <c r="F26" s="64">
        <v>0</v>
      </c>
    </row>
    <row r="27" spans="1:6" ht="18.45">
      <c r="A27" s="61"/>
      <c r="B27" s="61" t="s">
        <v>310</v>
      </c>
      <c r="C27" s="62">
        <v>96685600</v>
      </c>
      <c r="D27" s="62">
        <v>49938484</v>
      </c>
      <c r="E27" s="63">
        <f t="shared" si="0"/>
        <v>0.51650384338515765</v>
      </c>
      <c r="F27" s="64">
        <v>0.61938489288994436</v>
      </c>
    </row>
    <row r="28" spans="1:6" ht="18.45">
      <c r="A28" s="61"/>
      <c r="B28" s="61" t="s">
        <v>312</v>
      </c>
      <c r="C28" s="62">
        <v>96685600</v>
      </c>
      <c r="D28" s="62">
        <v>49938484</v>
      </c>
      <c r="E28" s="63">
        <f t="shared" si="0"/>
        <v>0.51650384338515765</v>
      </c>
      <c r="F28" s="64">
        <v>0.61938489288994436</v>
      </c>
    </row>
    <row r="29" spans="1:6" ht="18.45">
      <c r="A29" s="61" t="s">
        <v>24</v>
      </c>
      <c r="B29" s="61" t="s">
        <v>25</v>
      </c>
      <c r="C29" s="62">
        <v>96685600</v>
      </c>
      <c r="D29" s="62">
        <v>49938484</v>
      </c>
      <c r="E29" s="63">
        <f t="shared" si="0"/>
        <v>0.51650384338515765</v>
      </c>
      <c r="F29" s="64">
        <v>0.61938489288994436</v>
      </c>
    </row>
    <row r="30" spans="1:6" ht="18.45">
      <c r="A30" s="61" t="s">
        <v>26</v>
      </c>
      <c r="B30" s="61" t="s">
        <v>27</v>
      </c>
      <c r="C30" s="62">
        <v>3145600</v>
      </c>
      <c r="D30" s="62">
        <v>2968484</v>
      </c>
      <c r="E30" s="63">
        <f t="shared" si="0"/>
        <v>0.94369404883011188</v>
      </c>
      <c r="F30" s="64">
        <v>1</v>
      </c>
    </row>
    <row r="31" spans="1:6" ht="18.45">
      <c r="A31" s="61" t="s">
        <v>28</v>
      </c>
      <c r="B31" s="61" t="s">
        <v>29</v>
      </c>
      <c r="C31" s="62">
        <v>3145600</v>
      </c>
      <c r="D31" s="62">
        <v>2968484</v>
      </c>
      <c r="E31" s="63">
        <f t="shared" si="0"/>
        <v>0.94369404883011188</v>
      </c>
      <c r="F31" s="64">
        <v>1</v>
      </c>
    </row>
    <row r="32" spans="1:6" ht="18.45">
      <c r="A32" s="61" t="s">
        <v>30</v>
      </c>
      <c r="B32" s="61" t="s">
        <v>31</v>
      </c>
      <c r="C32" s="62">
        <v>1506100</v>
      </c>
      <c r="D32" s="62">
        <v>1335574</v>
      </c>
      <c r="E32" s="63">
        <f t="shared" si="0"/>
        <v>0.8867764424672997</v>
      </c>
      <c r="F32" s="64">
        <v>1</v>
      </c>
    </row>
    <row r="33" spans="1:6" ht="18.45">
      <c r="A33" s="61" t="s">
        <v>32</v>
      </c>
      <c r="B33" s="61" t="s">
        <v>33</v>
      </c>
      <c r="C33" s="62">
        <v>689000</v>
      </c>
      <c r="D33" s="62">
        <v>688200</v>
      </c>
      <c r="E33" s="63">
        <f t="shared" si="0"/>
        <v>0.99883889695210448</v>
      </c>
      <c r="F33" s="64">
        <v>1</v>
      </c>
    </row>
    <row r="34" spans="1:6" ht="18.45">
      <c r="A34" s="61" t="s">
        <v>237</v>
      </c>
      <c r="B34" s="61" t="s">
        <v>238</v>
      </c>
      <c r="C34" s="62">
        <v>100000</v>
      </c>
      <c r="D34" s="62">
        <v>100000</v>
      </c>
      <c r="E34" s="63">
        <f t="shared" si="0"/>
        <v>1</v>
      </c>
      <c r="F34" s="64">
        <v>1</v>
      </c>
    </row>
    <row r="35" spans="1:6" ht="18.45">
      <c r="A35" s="61" t="s">
        <v>34</v>
      </c>
      <c r="B35" s="61" t="s">
        <v>35</v>
      </c>
      <c r="C35" s="62">
        <v>850500</v>
      </c>
      <c r="D35" s="62">
        <v>844710</v>
      </c>
      <c r="E35" s="63">
        <f t="shared" si="0"/>
        <v>0.99319223985890648</v>
      </c>
      <c r="F35" s="64">
        <v>1</v>
      </c>
    </row>
    <row r="36" spans="1:6" ht="18.45">
      <c r="A36" s="61" t="s">
        <v>36</v>
      </c>
      <c r="B36" s="61" t="s">
        <v>37</v>
      </c>
      <c r="C36" s="62">
        <v>88320000</v>
      </c>
      <c r="D36" s="62">
        <v>41750000</v>
      </c>
      <c r="E36" s="63">
        <f t="shared" si="0"/>
        <v>0.47271286231884058</v>
      </c>
      <c r="F36" s="64">
        <v>0.58333333333333337</v>
      </c>
    </row>
    <row r="37" spans="1:6" ht="18.45">
      <c r="A37" s="61" t="s">
        <v>38</v>
      </c>
      <c r="B37" s="61" t="s">
        <v>39</v>
      </c>
      <c r="C37" s="62">
        <v>88320000</v>
      </c>
      <c r="D37" s="62">
        <v>41750000</v>
      </c>
      <c r="E37" s="63">
        <f t="shared" si="0"/>
        <v>0.47271286231884058</v>
      </c>
      <c r="F37" s="64">
        <v>0.58333333333333337</v>
      </c>
    </row>
    <row r="38" spans="1:6" ht="18.45">
      <c r="A38" s="61" t="s">
        <v>313</v>
      </c>
      <c r="B38" s="61" t="s">
        <v>314</v>
      </c>
      <c r="C38" s="62">
        <v>57000000</v>
      </c>
      <c r="D38" s="62">
        <v>28500000</v>
      </c>
      <c r="E38" s="63">
        <f t="shared" si="0"/>
        <v>0.5</v>
      </c>
      <c r="F38" s="64">
        <v>0.58333333333333337</v>
      </c>
    </row>
    <row r="39" spans="1:6" ht="18.45">
      <c r="A39" s="61" t="s">
        <v>255</v>
      </c>
      <c r="B39" s="61" t="s">
        <v>256</v>
      </c>
      <c r="C39" s="62">
        <v>14400000</v>
      </c>
      <c r="D39" s="62">
        <v>7200000</v>
      </c>
      <c r="E39" s="63">
        <f t="shared" si="0"/>
        <v>0.5</v>
      </c>
      <c r="F39" s="64">
        <v>0.58333333333333337</v>
      </c>
    </row>
    <row r="40" spans="1:6" ht="18.45">
      <c r="A40" s="61" t="s">
        <v>112</v>
      </c>
      <c r="B40" s="61" t="s">
        <v>113</v>
      </c>
      <c r="C40" s="62">
        <v>16920000</v>
      </c>
      <c r="D40" s="62">
        <v>6050000</v>
      </c>
      <c r="E40" s="63">
        <f t="shared" si="0"/>
        <v>0.35756501182033096</v>
      </c>
      <c r="F40" s="64">
        <v>0.58333333333333337</v>
      </c>
    </row>
    <row r="41" spans="1:6" ht="18.45">
      <c r="A41" s="61" t="s">
        <v>42</v>
      </c>
      <c r="B41" s="61" t="s">
        <v>43</v>
      </c>
      <c r="C41" s="62">
        <v>5220000</v>
      </c>
      <c r="D41" s="62">
        <v>5220000</v>
      </c>
      <c r="E41" s="63">
        <f t="shared" si="0"/>
        <v>1</v>
      </c>
      <c r="F41" s="64">
        <v>1</v>
      </c>
    </row>
    <row r="42" spans="1:6" ht="18.45">
      <c r="A42" s="61" t="s">
        <v>44</v>
      </c>
      <c r="B42" s="61" t="s">
        <v>45</v>
      </c>
      <c r="C42" s="62">
        <v>5220000</v>
      </c>
      <c r="D42" s="62">
        <v>5220000</v>
      </c>
      <c r="E42" s="63">
        <f t="shared" si="0"/>
        <v>1</v>
      </c>
      <c r="F42" s="64">
        <v>1</v>
      </c>
    </row>
    <row r="43" spans="1:6" ht="18.45">
      <c r="A43" s="61" t="s">
        <v>46</v>
      </c>
      <c r="B43" s="61" t="s">
        <v>47</v>
      </c>
      <c r="C43" s="62">
        <v>1140000</v>
      </c>
      <c r="D43" s="62">
        <v>1140000</v>
      </c>
      <c r="E43" s="63">
        <f t="shared" si="0"/>
        <v>1</v>
      </c>
      <c r="F43" s="64">
        <v>1</v>
      </c>
    </row>
    <row r="44" spans="1:6" ht="18.45">
      <c r="A44" s="56" t="s">
        <v>141</v>
      </c>
      <c r="B44" s="61" t="s">
        <v>142</v>
      </c>
      <c r="C44" s="62">
        <v>4080000</v>
      </c>
      <c r="D44" s="62">
        <v>4080000</v>
      </c>
      <c r="E44" s="63">
        <f t="shared" si="0"/>
        <v>1</v>
      </c>
      <c r="F44" s="64">
        <v>1</v>
      </c>
    </row>
  </sheetData>
  <pageMargins left="0.7" right="0.7" top="0.75" bottom="0.75" header="0.3" footer="0.3"/>
  <pageSetup paperSize="9" scale="47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DC33-02F6-4AE2-8D9A-542960FF08B4}">
  <dimension ref="A1:H65"/>
  <sheetViews>
    <sheetView view="pageBreakPreview" topLeftCell="A47" zoomScaleNormal="100" zoomScaleSheetLayoutView="100" workbookViewId="0">
      <selection sqref="A1:H65"/>
    </sheetView>
  </sheetViews>
  <sheetFormatPr defaultRowHeight="14.6"/>
  <cols>
    <col min="1" max="1" width="4" bestFit="1" customWidth="1"/>
    <col min="2" max="2" width="44.23046875" bestFit="1" customWidth="1"/>
    <col min="3" max="3" width="30.23046875" bestFit="1" customWidth="1"/>
    <col min="4" max="4" width="17.84375" customWidth="1"/>
    <col min="5" max="5" width="8.07421875" customWidth="1"/>
    <col min="6" max="6" width="29.69140625" bestFit="1" customWidth="1"/>
    <col min="7" max="7" width="17.4609375" customWidth="1"/>
    <col min="8" max="8" width="28.07421875" customWidth="1"/>
  </cols>
  <sheetData>
    <row r="1" spans="1:8" ht="44.15" customHeight="1" thickBot="1">
      <c r="A1" s="186" t="s">
        <v>328</v>
      </c>
      <c r="B1" s="186" t="s">
        <v>329</v>
      </c>
      <c r="C1" s="186" t="s">
        <v>330</v>
      </c>
      <c r="D1" s="188" t="s">
        <v>331</v>
      </c>
      <c r="E1" s="189"/>
      <c r="F1" s="190" t="s">
        <v>332</v>
      </c>
      <c r="G1" s="182" t="s">
        <v>449</v>
      </c>
      <c r="H1" s="184" t="s">
        <v>450</v>
      </c>
    </row>
    <row r="2" spans="1:8" ht="15" thickBot="1">
      <c r="A2" s="187"/>
      <c r="B2" s="187"/>
      <c r="C2" s="187"/>
      <c r="D2" s="83" t="s">
        <v>333</v>
      </c>
      <c r="E2" s="83" t="s">
        <v>334</v>
      </c>
      <c r="F2" s="191"/>
      <c r="G2" s="183"/>
      <c r="H2" s="185"/>
    </row>
    <row r="3" spans="1:8" ht="15" thickBot="1">
      <c r="A3" s="84">
        <v>1</v>
      </c>
      <c r="B3" s="85">
        <v>2</v>
      </c>
      <c r="C3" s="85">
        <v>3</v>
      </c>
      <c r="D3" s="85">
        <v>4</v>
      </c>
      <c r="E3" s="85">
        <v>5</v>
      </c>
      <c r="F3" s="104">
        <v>6</v>
      </c>
      <c r="G3" s="105">
        <v>7</v>
      </c>
      <c r="H3" s="105">
        <v>8</v>
      </c>
    </row>
    <row r="4" spans="1:8" ht="25.3" thickBot="1">
      <c r="A4" s="86" t="s">
        <v>335</v>
      </c>
      <c r="B4" s="87" t="s">
        <v>19</v>
      </c>
      <c r="C4" s="94">
        <v>3678352600</v>
      </c>
      <c r="D4" s="96">
        <v>1873521710</v>
      </c>
      <c r="E4" s="97">
        <v>0.52489825678924285</v>
      </c>
      <c r="F4" s="110">
        <f>SUM(F5,F12,F17,F27,F30,F34)</f>
        <v>4594090555</v>
      </c>
      <c r="G4" s="116">
        <f>F4-C4</f>
        <v>915737955</v>
      </c>
      <c r="H4" s="142"/>
    </row>
    <row r="5" spans="1:8" ht="25.3" thickBot="1">
      <c r="A5" s="86" t="s">
        <v>336</v>
      </c>
      <c r="B5" s="87" t="s">
        <v>337</v>
      </c>
      <c r="C5" s="95">
        <v>27046200</v>
      </c>
      <c r="D5" s="96">
        <v>13478208</v>
      </c>
      <c r="E5" s="97">
        <v>0.49834017348093262</v>
      </c>
      <c r="F5" s="110">
        <f>SUM(F6:F11)</f>
        <v>27815400</v>
      </c>
      <c r="G5" s="117">
        <f t="shared" ref="G5:G65" si="0">F5-C5</f>
        <v>769200</v>
      </c>
      <c r="H5" s="142"/>
    </row>
    <row r="6" spans="1:8" ht="29.6" thickBot="1">
      <c r="A6" s="88" t="s">
        <v>338</v>
      </c>
      <c r="B6" s="89" t="s">
        <v>339</v>
      </c>
      <c r="C6" s="99">
        <v>12226200</v>
      </c>
      <c r="D6" s="100">
        <v>6071739</v>
      </c>
      <c r="E6" s="101">
        <v>0.49661701918830053</v>
      </c>
      <c r="F6" s="111">
        <v>12226200</v>
      </c>
      <c r="G6" s="117">
        <f t="shared" si="0"/>
        <v>0</v>
      </c>
      <c r="H6" s="143" t="s">
        <v>454</v>
      </c>
    </row>
    <row r="7" spans="1:8" ht="29.6" thickBot="1">
      <c r="A7" s="88" t="s">
        <v>340</v>
      </c>
      <c r="B7" s="91" t="s">
        <v>341</v>
      </c>
      <c r="C7" s="99">
        <v>3686800</v>
      </c>
      <c r="D7" s="100">
        <v>2108832</v>
      </c>
      <c r="E7" s="101">
        <v>0.57199522621243359</v>
      </c>
      <c r="F7" s="111">
        <v>4456000</v>
      </c>
      <c r="G7" s="117">
        <f t="shared" si="0"/>
        <v>769200</v>
      </c>
      <c r="H7" s="143" t="s">
        <v>454</v>
      </c>
    </row>
    <row r="8" spans="1:8" ht="29.6" thickBot="1">
      <c r="A8" s="88" t="s">
        <v>342</v>
      </c>
      <c r="B8" s="91" t="s">
        <v>343</v>
      </c>
      <c r="C8" s="99">
        <v>1795800</v>
      </c>
      <c r="D8" s="100" t="s">
        <v>318</v>
      </c>
      <c r="E8" s="101">
        <v>0</v>
      </c>
      <c r="F8" s="111">
        <v>1795800</v>
      </c>
      <c r="G8" s="117">
        <f t="shared" si="0"/>
        <v>0</v>
      </c>
      <c r="H8" s="143" t="s">
        <v>454</v>
      </c>
    </row>
    <row r="9" spans="1:8" ht="29.6" thickBot="1">
      <c r="A9" s="88" t="s">
        <v>344</v>
      </c>
      <c r="B9" s="91" t="s">
        <v>345</v>
      </c>
      <c r="C9" s="99">
        <v>2999600</v>
      </c>
      <c r="D9" s="100">
        <v>2587597</v>
      </c>
      <c r="E9" s="101">
        <v>0.86264735298039741</v>
      </c>
      <c r="F9" s="111">
        <v>2999600</v>
      </c>
      <c r="G9" s="117">
        <f t="shared" si="0"/>
        <v>0</v>
      </c>
      <c r="H9" s="143" t="s">
        <v>454</v>
      </c>
    </row>
    <row r="10" spans="1:8" ht="29.6" thickBot="1">
      <c r="A10" s="88" t="s">
        <v>346</v>
      </c>
      <c r="B10" s="91" t="s">
        <v>347</v>
      </c>
      <c r="C10" s="99">
        <v>2359200</v>
      </c>
      <c r="D10" s="100" t="s">
        <v>318</v>
      </c>
      <c r="E10" s="101">
        <v>0</v>
      </c>
      <c r="F10" s="111">
        <v>2359200</v>
      </c>
      <c r="G10" s="117">
        <f t="shared" si="0"/>
        <v>0</v>
      </c>
      <c r="H10" s="143" t="s">
        <v>454</v>
      </c>
    </row>
    <row r="11" spans="1:8" ht="29.6" thickBot="1">
      <c r="A11" s="88" t="s">
        <v>348</v>
      </c>
      <c r="B11" s="91" t="s">
        <v>349</v>
      </c>
      <c r="C11" s="99">
        <v>3978600</v>
      </c>
      <c r="D11" s="100">
        <v>2710040</v>
      </c>
      <c r="E11" s="101">
        <v>0.68115417483536922</v>
      </c>
      <c r="F11" s="111">
        <v>3978600</v>
      </c>
      <c r="G11" s="117">
        <f t="shared" si="0"/>
        <v>0</v>
      </c>
      <c r="H11" s="143" t="s">
        <v>454</v>
      </c>
    </row>
    <row r="12" spans="1:8" ht="29.6" thickBot="1">
      <c r="A12" s="86" t="s">
        <v>350</v>
      </c>
      <c r="B12" s="87" t="s">
        <v>351</v>
      </c>
      <c r="C12" s="102">
        <v>2663689800</v>
      </c>
      <c r="D12" s="98">
        <v>1405664020</v>
      </c>
      <c r="E12" s="103">
        <v>0.52771310683398642</v>
      </c>
      <c r="F12" s="112">
        <f>SUM(F13:F16)</f>
        <v>2388520355</v>
      </c>
      <c r="G12" s="118">
        <f t="shared" si="0"/>
        <v>-275169445</v>
      </c>
      <c r="H12" s="143" t="s">
        <v>486</v>
      </c>
    </row>
    <row r="13" spans="1:8" ht="29.6" thickBot="1">
      <c r="A13" s="88" t="s">
        <v>352</v>
      </c>
      <c r="B13" s="91" t="s">
        <v>353</v>
      </c>
      <c r="C13" s="99">
        <v>2487412300</v>
      </c>
      <c r="D13" s="100">
        <v>1352677837</v>
      </c>
      <c r="E13" s="101">
        <v>0.54380925791835955</v>
      </c>
      <c r="F13" s="111">
        <v>2224242855</v>
      </c>
      <c r="G13" s="117">
        <f t="shared" si="0"/>
        <v>-263169445</v>
      </c>
      <c r="H13" s="143" t="s">
        <v>452</v>
      </c>
    </row>
    <row r="14" spans="1:8" ht="44.15" thickBot="1">
      <c r="A14" s="88" t="s">
        <v>354</v>
      </c>
      <c r="B14" s="91" t="s">
        <v>355</v>
      </c>
      <c r="C14" s="99">
        <v>172576400</v>
      </c>
      <c r="D14" s="100">
        <v>49402383</v>
      </c>
      <c r="E14" s="101">
        <v>0.28626384024698626</v>
      </c>
      <c r="F14" s="111">
        <v>160576400</v>
      </c>
      <c r="G14" s="117">
        <f t="shared" si="0"/>
        <v>-12000000</v>
      </c>
      <c r="H14" s="143" t="s">
        <v>453</v>
      </c>
    </row>
    <row r="15" spans="1:8" ht="29.6" thickBot="1">
      <c r="A15" s="88" t="s">
        <v>356</v>
      </c>
      <c r="B15" s="91" t="s">
        <v>357</v>
      </c>
      <c r="C15" s="99">
        <v>2238500</v>
      </c>
      <c r="D15" s="100">
        <v>2203257</v>
      </c>
      <c r="E15" s="101">
        <v>0.98425597498324768</v>
      </c>
      <c r="F15" s="111">
        <v>2238500</v>
      </c>
      <c r="G15" s="117">
        <f t="shared" si="0"/>
        <v>0</v>
      </c>
      <c r="H15" s="143" t="s">
        <v>454</v>
      </c>
    </row>
    <row r="16" spans="1:8" ht="29.6" thickBot="1">
      <c r="A16" s="88" t="s">
        <v>358</v>
      </c>
      <c r="B16" s="91" t="s">
        <v>359</v>
      </c>
      <c r="C16" s="99">
        <v>1462600</v>
      </c>
      <c r="D16" s="100">
        <v>1380543</v>
      </c>
      <c r="E16" s="101">
        <v>0.94389648571037876</v>
      </c>
      <c r="F16" s="111">
        <v>1462600</v>
      </c>
      <c r="G16" s="117">
        <f t="shared" si="0"/>
        <v>0</v>
      </c>
      <c r="H16" s="143" t="s">
        <v>454</v>
      </c>
    </row>
    <row r="17" spans="1:8" ht="15" thickBot="1">
      <c r="A17" s="86" t="s">
        <v>360</v>
      </c>
      <c r="B17" s="87" t="s">
        <v>361</v>
      </c>
      <c r="C17" s="94">
        <v>141121300</v>
      </c>
      <c r="D17" s="96">
        <v>112253476</v>
      </c>
      <c r="E17" s="97">
        <v>0.79543963951579244</v>
      </c>
      <c r="F17" s="110">
        <f>SUM(F18:F26)</f>
        <v>200590400</v>
      </c>
      <c r="G17" s="117">
        <f t="shared" si="0"/>
        <v>59469100</v>
      </c>
      <c r="H17" s="142"/>
    </row>
    <row r="18" spans="1:8" ht="26.15" thickBot="1">
      <c r="A18" s="88" t="s">
        <v>362</v>
      </c>
      <c r="B18" s="91" t="s">
        <v>363</v>
      </c>
      <c r="C18" s="99">
        <v>1871600</v>
      </c>
      <c r="D18" s="100" t="s">
        <v>318</v>
      </c>
      <c r="E18" s="101">
        <v>0</v>
      </c>
      <c r="F18" s="111">
        <v>3603000</v>
      </c>
      <c r="G18" s="117">
        <f t="shared" si="0"/>
        <v>1731400</v>
      </c>
      <c r="H18" s="143" t="s">
        <v>455</v>
      </c>
    </row>
    <row r="19" spans="1:8" ht="15" thickBot="1">
      <c r="A19" s="88" t="s">
        <v>364</v>
      </c>
      <c r="B19" s="91" t="s">
        <v>365</v>
      </c>
      <c r="C19" s="99">
        <v>2044000</v>
      </c>
      <c r="D19" s="100">
        <v>471327</v>
      </c>
      <c r="E19" s="101">
        <v>0.23059050880626222</v>
      </c>
      <c r="F19" s="111">
        <v>3989700</v>
      </c>
      <c r="G19" s="117">
        <f t="shared" si="0"/>
        <v>1945700</v>
      </c>
      <c r="H19" s="143" t="s">
        <v>456</v>
      </c>
    </row>
    <row r="20" spans="1:8" ht="15" thickBot="1">
      <c r="A20" s="88" t="s">
        <v>366</v>
      </c>
      <c r="B20" s="91" t="s">
        <v>367</v>
      </c>
      <c r="C20" s="99">
        <v>12408100</v>
      </c>
      <c r="D20" s="100">
        <v>6232327</v>
      </c>
      <c r="E20" s="101">
        <v>0.50227891457999208</v>
      </c>
      <c r="F20" s="111">
        <v>12408100</v>
      </c>
      <c r="G20" s="117">
        <f t="shared" si="0"/>
        <v>0</v>
      </c>
      <c r="H20" s="143" t="s">
        <v>451</v>
      </c>
    </row>
    <row r="21" spans="1:8">
      <c r="A21" s="192" t="s">
        <v>368</v>
      </c>
      <c r="B21" s="194" t="s">
        <v>369</v>
      </c>
      <c r="C21" s="196">
        <v>3582800</v>
      </c>
      <c r="D21" s="198">
        <v>3531066</v>
      </c>
      <c r="E21" s="200">
        <v>0.98556045550965721</v>
      </c>
      <c r="F21" s="177">
        <v>3582800</v>
      </c>
      <c r="G21" s="117">
        <f t="shared" si="0"/>
        <v>0</v>
      </c>
      <c r="H21" s="181" t="s">
        <v>451</v>
      </c>
    </row>
    <row r="22" spans="1:8" ht="15" thickBot="1">
      <c r="A22" s="193"/>
      <c r="B22" s="195"/>
      <c r="C22" s="197">
        <v>3582800</v>
      </c>
      <c r="D22" s="199">
        <v>3531066</v>
      </c>
      <c r="E22" s="201">
        <v>0.98556045550965721</v>
      </c>
      <c r="F22" s="178"/>
      <c r="G22" s="117">
        <f t="shared" si="0"/>
        <v>-3582800</v>
      </c>
      <c r="H22" s="181"/>
    </row>
    <row r="23" spans="1:8" ht="29.6" thickBot="1">
      <c r="A23" s="88" t="s">
        <v>370</v>
      </c>
      <c r="B23" s="91" t="s">
        <v>371</v>
      </c>
      <c r="C23" s="99">
        <v>93892800</v>
      </c>
      <c r="D23" s="100">
        <v>82150000</v>
      </c>
      <c r="E23" s="101">
        <v>0.87997429168228802</v>
      </c>
      <c r="F23" s="111">
        <v>93892800</v>
      </c>
      <c r="G23" s="117">
        <f t="shared" si="0"/>
        <v>0</v>
      </c>
      <c r="H23" s="143" t="s">
        <v>457</v>
      </c>
    </row>
    <row r="24" spans="1:8" ht="15" thickBot="1">
      <c r="A24" s="88" t="s">
        <v>372</v>
      </c>
      <c r="B24" s="91" t="s">
        <v>373</v>
      </c>
      <c r="C24" s="90" t="s">
        <v>374</v>
      </c>
      <c r="D24" s="90" t="s">
        <v>374</v>
      </c>
      <c r="E24" s="90" t="s">
        <v>374</v>
      </c>
      <c r="F24" s="113"/>
      <c r="G24" s="117"/>
      <c r="H24" s="142"/>
    </row>
    <row r="25" spans="1:8" ht="15" thickBot="1">
      <c r="A25" s="88" t="s">
        <v>375</v>
      </c>
      <c r="B25" s="91" t="s">
        <v>376</v>
      </c>
      <c r="C25" s="99">
        <v>4050000</v>
      </c>
      <c r="D25" s="100">
        <v>1001250</v>
      </c>
      <c r="E25" s="101">
        <v>0.24722222222222223</v>
      </c>
      <c r="F25" s="111">
        <v>4050000</v>
      </c>
      <c r="G25" s="117">
        <f t="shared" si="0"/>
        <v>0</v>
      </c>
      <c r="H25" s="143" t="s">
        <v>458</v>
      </c>
    </row>
    <row r="26" spans="1:8" ht="29.6" thickBot="1">
      <c r="A26" s="88" t="s">
        <v>377</v>
      </c>
      <c r="B26" s="91" t="s">
        <v>378</v>
      </c>
      <c r="C26" s="99">
        <v>23272000</v>
      </c>
      <c r="D26" s="100">
        <v>18343586</v>
      </c>
      <c r="E26" s="101">
        <v>0.7882255929872809</v>
      </c>
      <c r="F26" s="111">
        <v>79064000</v>
      </c>
      <c r="G26" s="117">
        <f t="shared" si="0"/>
        <v>55792000</v>
      </c>
      <c r="H26" s="143" t="s">
        <v>459</v>
      </c>
    </row>
    <row r="27" spans="1:8" ht="25.3" thickBot="1">
      <c r="A27" s="86" t="s">
        <v>379</v>
      </c>
      <c r="B27" s="92" t="s">
        <v>144</v>
      </c>
      <c r="C27" s="94">
        <v>109048100</v>
      </c>
      <c r="D27" s="96" t="s">
        <v>318</v>
      </c>
      <c r="E27" s="97">
        <v>0</v>
      </c>
      <c r="F27" s="110">
        <f>SUM(F28:F29)</f>
        <v>1209017200</v>
      </c>
      <c r="G27" s="116">
        <f t="shared" si="0"/>
        <v>1099969100</v>
      </c>
      <c r="H27" s="143" t="s">
        <v>487</v>
      </c>
    </row>
    <row r="28" spans="1:8" ht="15" thickBot="1">
      <c r="A28" s="88" t="s">
        <v>380</v>
      </c>
      <c r="B28" s="91" t="s">
        <v>381</v>
      </c>
      <c r="C28" s="90">
        <v>0</v>
      </c>
      <c r="D28" s="90">
        <v>0</v>
      </c>
      <c r="E28" s="90">
        <v>0</v>
      </c>
      <c r="F28" s="111">
        <v>291500000</v>
      </c>
      <c r="G28" s="117">
        <f t="shared" si="0"/>
        <v>291500000</v>
      </c>
      <c r="H28" s="143" t="s">
        <v>460</v>
      </c>
    </row>
    <row r="29" spans="1:8" ht="44.15" thickBot="1">
      <c r="A29" s="88" t="s">
        <v>382</v>
      </c>
      <c r="B29" s="91" t="s">
        <v>383</v>
      </c>
      <c r="C29" s="99">
        <v>109048100</v>
      </c>
      <c r="D29" s="100" t="s">
        <v>318</v>
      </c>
      <c r="E29" s="101">
        <v>0</v>
      </c>
      <c r="F29" s="111">
        <v>917517200</v>
      </c>
      <c r="G29" s="117">
        <f t="shared" si="0"/>
        <v>808469100</v>
      </c>
      <c r="H29" s="143" t="s">
        <v>461</v>
      </c>
    </row>
    <row r="30" spans="1:8" ht="25.3" thickBot="1">
      <c r="A30" s="86" t="s">
        <v>384</v>
      </c>
      <c r="B30" s="92" t="s">
        <v>385</v>
      </c>
      <c r="C30" s="96">
        <v>487837200</v>
      </c>
      <c r="D30" s="96">
        <v>252431030</v>
      </c>
      <c r="E30" s="97">
        <v>0.51744932530770515</v>
      </c>
      <c r="F30" s="110">
        <f>SUM(F31:F33)</f>
        <v>487837200</v>
      </c>
      <c r="G30" s="117">
        <f t="shared" si="0"/>
        <v>0</v>
      </c>
      <c r="H30" s="142"/>
    </row>
    <row r="31" spans="1:8" ht="29.6" thickBot="1">
      <c r="A31" s="88" t="s">
        <v>386</v>
      </c>
      <c r="B31" s="91" t="s">
        <v>387</v>
      </c>
      <c r="C31" s="100">
        <v>90000000</v>
      </c>
      <c r="D31" s="100">
        <v>38231030</v>
      </c>
      <c r="E31" s="101">
        <v>0.42478922222222221</v>
      </c>
      <c r="F31" s="111">
        <v>90000000</v>
      </c>
      <c r="G31" s="117">
        <f t="shared" si="0"/>
        <v>0</v>
      </c>
      <c r="H31" s="143" t="s">
        <v>462</v>
      </c>
    </row>
    <row r="32" spans="1:8" ht="26.15" thickBot="1">
      <c r="A32" s="88" t="s">
        <v>147</v>
      </c>
      <c r="B32" s="91" t="s">
        <v>388</v>
      </c>
      <c r="C32" s="100">
        <v>3000000</v>
      </c>
      <c r="D32" s="100" t="s">
        <v>318</v>
      </c>
      <c r="E32" s="101">
        <v>0</v>
      </c>
      <c r="F32" s="111">
        <v>3000000</v>
      </c>
      <c r="G32" s="117">
        <f t="shared" si="0"/>
        <v>0</v>
      </c>
      <c r="H32" s="143" t="s">
        <v>463</v>
      </c>
    </row>
    <row r="33" spans="1:8" ht="29.6" thickBot="1">
      <c r="A33" s="88" t="s">
        <v>389</v>
      </c>
      <c r="B33" s="91" t="s">
        <v>390</v>
      </c>
      <c r="C33" s="100">
        <v>394837200</v>
      </c>
      <c r="D33" s="100">
        <v>214200000</v>
      </c>
      <c r="E33" s="101">
        <v>0.54250207427263697</v>
      </c>
      <c r="F33" s="111">
        <v>394837200</v>
      </c>
      <c r="G33" s="117">
        <f t="shared" si="0"/>
        <v>0</v>
      </c>
      <c r="H33" s="143" t="s">
        <v>464</v>
      </c>
    </row>
    <row r="34" spans="1:8" ht="25.3" thickBot="1">
      <c r="A34" s="86" t="s">
        <v>391</v>
      </c>
      <c r="B34" s="87" t="s">
        <v>392</v>
      </c>
      <c r="C34" s="96">
        <v>249610000</v>
      </c>
      <c r="D34" s="96">
        <v>89694976</v>
      </c>
      <c r="E34" s="97">
        <v>0.35934047514122031</v>
      </c>
      <c r="F34" s="110">
        <f>SUM(F35:F37)</f>
        <v>280310000</v>
      </c>
      <c r="G34" s="116">
        <f t="shared" si="0"/>
        <v>30700000</v>
      </c>
      <c r="H34" s="143" t="s">
        <v>488</v>
      </c>
    </row>
    <row r="35" spans="1:8" ht="44.15" thickBot="1">
      <c r="A35" s="88" t="s">
        <v>393</v>
      </c>
      <c r="B35" s="91" t="s">
        <v>394</v>
      </c>
      <c r="C35" s="100">
        <v>210320000</v>
      </c>
      <c r="D35" s="100">
        <v>89694976</v>
      </c>
      <c r="E35" s="101">
        <v>0.4264690756941803</v>
      </c>
      <c r="F35" s="111">
        <v>195320000</v>
      </c>
      <c r="G35" s="117">
        <f t="shared" si="0"/>
        <v>-15000000</v>
      </c>
      <c r="H35" s="143" t="s">
        <v>466</v>
      </c>
    </row>
    <row r="36" spans="1:8" ht="15" thickBot="1">
      <c r="A36" s="88" t="s">
        <v>395</v>
      </c>
      <c r="B36" s="91" t="s">
        <v>465</v>
      </c>
      <c r="C36" s="100">
        <v>29290000</v>
      </c>
      <c r="D36" s="100" t="s">
        <v>318</v>
      </c>
      <c r="E36" s="101">
        <v>0</v>
      </c>
      <c r="F36" s="111">
        <v>14990000</v>
      </c>
      <c r="G36" s="117">
        <f t="shared" si="0"/>
        <v>-14300000</v>
      </c>
      <c r="H36" s="142"/>
    </row>
    <row r="37" spans="1:8" ht="26.15" thickBot="1">
      <c r="A37" s="88" t="s">
        <v>396</v>
      </c>
      <c r="B37" s="91" t="s">
        <v>397</v>
      </c>
      <c r="C37" s="100">
        <v>10000000</v>
      </c>
      <c r="D37" s="100" t="s">
        <v>318</v>
      </c>
      <c r="E37" s="101">
        <v>0</v>
      </c>
      <c r="F37" s="111">
        <v>70000000</v>
      </c>
      <c r="G37" s="116">
        <f t="shared" si="0"/>
        <v>60000000</v>
      </c>
      <c r="H37" s="143" t="s">
        <v>467</v>
      </c>
    </row>
    <row r="38" spans="1:8" ht="25.3" thickBot="1">
      <c r="A38" s="86" t="s">
        <v>398</v>
      </c>
      <c r="B38" s="87" t="s">
        <v>399</v>
      </c>
      <c r="C38" s="96">
        <v>4246906200</v>
      </c>
      <c r="D38" s="96">
        <v>2110689044</v>
      </c>
      <c r="E38" s="97">
        <v>0.49699450484684593</v>
      </c>
      <c r="F38" s="110">
        <f>F39</f>
        <v>5299356200</v>
      </c>
      <c r="G38" s="116">
        <f t="shared" si="0"/>
        <v>1052450000</v>
      </c>
      <c r="H38" s="142"/>
    </row>
    <row r="39" spans="1:8" ht="25.3" thickBot="1">
      <c r="A39" s="86" t="s">
        <v>400</v>
      </c>
      <c r="B39" s="87" t="s">
        <v>401</v>
      </c>
      <c r="C39" s="96">
        <v>4246906200</v>
      </c>
      <c r="D39" s="96">
        <v>2110689044</v>
      </c>
      <c r="E39" s="97">
        <v>0.49699450484684593</v>
      </c>
      <c r="F39" s="110">
        <f>SUM(F40:F47)</f>
        <v>5299356200</v>
      </c>
      <c r="G39" s="117">
        <f t="shared" si="0"/>
        <v>1052450000</v>
      </c>
      <c r="H39" s="142"/>
    </row>
    <row r="40" spans="1:8" ht="58.75" thickBot="1">
      <c r="A40" s="88" t="s">
        <v>402</v>
      </c>
      <c r="B40" s="91" t="s">
        <v>403</v>
      </c>
      <c r="C40" s="100">
        <v>3038000000</v>
      </c>
      <c r="D40" s="100">
        <v>1513643285</v>
      </c>
      <c r="E40" s="101">
        <v>0.49823676267281108</v>
      </c>
      <c r="F40" s="111">
        <v>3738000000</v>
      </c>
      <c r="G40" s="117">
        <f t="shared" si="0"/>
        <v>700000000</v>
      </c>
      <c r="H40" s="143" t="s">
        <v>468</v>
      </c>
    </row>
    <row r="41" spans="1:8" ht="26.15" thickBot="1">
      <c r="A41" s="88" t="s">
        <v>404</v>
      </c>
      <c r="B41" s="91" t="s">
        <v>405</v>
      </c>
      <c r="C41" s="100">
        <v>1225400</v>
      </c>
      <c r="D41" s="100" t="s">
        <v>318</v>
      </c>
      <c r="E41" s="101">
        <v>0</v>
      </c>
      <c r="F41" s="111">
        <v>1225400</v>
      </c>
      <c r="G41" s="117">
        <f t="shared" si="0"/>
        <v>0</v>
      </c>
      <c r="H41" s="144" t="s">
        <v>469</v>
      </c>
    </row>
    <row r="42" spans="1:8" ht="29.6" thickBot="1">
      <c r="A42" s="93" t="s">
        <v>406</v>
      </c>
      <c r="B42" s="89" t="s">
        <v>407</v>
      </c>
      <c r="C42" s="100">
        <v>380615000</v>
      </c>
      <c r="D42" s="100">
        <v>209248447</v>
      </c>
      <c r="E42" s="101">
        <v>0.54976405816901597</v>
      </c>
      <c r="F42" s="111">
        <v>380615000</v>
      </c>
      <c r="G42" s="117">
        <f t="shared" si="0"/>
        <v>0</v>
      </c>
      <c r="H42" s="143" t="s">
        <v>470</v>
      </c>
    </row>
    <row r="43" spans="1:8" ht="44.15" thickBot="1">
      <c r="A43" s="88" t="s">
        <v>408</v>
      </c>
      <c r="B43" s="91" t="s">
        <v>409</v>
      </c>
      <c r="C43" s="100">
        <v>21902000</v>
      </c>
      <c r="D43" s="100">
        <v>2660000</v>
      </c>
      <c r="E43" s="101">
        <v>0.12145009588165465</v>
      </c>
      <c r="F43" s="111">
        <v>21902000</v>
      </c>
      <c r="G43" s="117">
        <f t="shared" si="0"/>
        <v>0</v>
      </c>
      <c r="H43" s="143" t="s">
        <v>471</v>
      </c>
    </row>
    <row r="44" spans="1:8" ht="15" thickBot="1">
      <c r="A44" s="88" t="s">
        <v>410</v>
      </c>
      <c r="B44" s="91" t="s">
        <v>411</v>
      </c>
      <c r="C44" s="100">
        <v>255800000</v>
      </c>
      <c r="D44" s="100">
        <v>127520000</v>
      </c>
      <c r="E44" s="101">
        <v>0.49851446442533232</v>
      </c>
      <c r="F44" s="111">
        <v>255800000</v>
      </c>
      <c r="G44" s="117">
        <f t="shared" si="0"/>
        <v>0</v>
      </c>
      <c r="H44" s="143" t="s">
        <v>472</v>
      </c>
    </row>
    <row r="45" spans="1:8" ht="73.3" thickBot="1">
      <c r="A45" s="88" t="s">
        <v>412</v>
      </c>
      <c r="B45" s="91" t="s">
        <v>413</v>
      </c>
      <c r="C45" s="100">
        <v>301917400</v>
      </c>
      <c r="D45" s="100">
        <v>132236672</v>
      </c>
      <c r="E45" s="101">
        <v>0.4379895693325393</v>
      </c>
      <c r="F45" s="111">
        <v>301767400</v>
      </c>
      <c r="G45" s="117">
        <f t="shared" si="0"/>
        <v>-150000</v>
      </c>
      <c r="H45" s="143" t="s">
        <v>474</v>
      </c>
    </row>
    <row r="46" spans="1:8" ht="44.15" thickBot="1">
      <c r="A46" s="88" t="s">
        <v>414</v>
      </c>
      <c r="B46" s="91" t="s">
        <v>415</v>
      </c>
      <c r="C46" s="100">
        <v>245506300</v>
      </c>
      <c r="D46" s="100">
        <v>123800000</v>
      </c>
      <c r="E46" s="101">
        <v>0.5042640453625834</v>
      </c>
      <c r="F46" s="111">
        <v>598106300</v>
      </c>
      <c r="G46" s="117">
        <f t="shared" si="0"/>
        <v>352600000</v>
      </c>
      <c r="H46" s="143" t="s">
        <v>473</v>
      </c>
    </row>
    <row r="47" spans="1:8" ht="26.15" thickBot="1">
      <c r="A47" s="88" t="s">
        <v>416</v>
      </c>
      <c r="B47" s="91" t="s">
        <v>417</v>
      </c>
      <c r="C47" s="100">
        <v>1940100</v>
      </c>
      <c r="D47" s="100">
        <v>1580640</v>
      </c>
      <c r="E47" s="101">
        <v>0.81472089067573839</v>
      </c>
      <c r="F47" s="111">
        <v>1940100</v>
      </c>
      <c r="G47" s="117">
        <f t="shared" si="0"/>
        <v>0</v>
      </c>
      <c r="H47" s="143" t="s">
        <v>451</v>
      </c>
    </row>
    <row r="48" spans="1:8" ht="29.6" thickBot="1">
      <c r="A48" s="86" t="s">
        <v>418</v>
      </c>
      <c r="B48" s="92" t="s">
        <v>264</v>
      </c>
      <c r="C48" s="96">
        <v>2556814200</v>
      </c>
      <c r="D48" s="96">
        <v>1080159374</v>
      </c>
      <c r="E48" s="97">
        <v>0.42246299085792</v>
      </c>
      <c r="F48" s="110">
        <f>F49</f>
        <v>2314384930</v>
      </c>
      <c r="G48" s="118">
        <f t="shared" si="0"/>
        <v>-242429270</v>
      </c>
      <c r="H48" s="143" t="s">
        <v>485</v>
      </c>
    </row>
    <row r="49" spans="1:8" ht="25.3" thickBot="1">
      <c r="A49" s="86" t="s">
        <v>419</v>
      </c>
      <c r="B49" s="92" t="s">
        <v>420</v>
      </c>
      <c r="C49" s="96">
        <v>2556814200</v>
      </c>
      <c r="D49" s="96">
        <v>1080159374</v>
      </c>
      <c r="E49" s="97">
        <v>0.42246299085792</v>
      </c>
      <c r="F49" s="110">
        <f>SUM(F50:F53)</f>
        <v>2314384930</v>
      </c>
      <c r="G49" s="117">
        <f t="shared" si="0"/>
        <v>-242429270</v>
      </c>
      <c r="H49" s="142"/>
    </row>
    <row r="50" spans="1:8" ht="44.15" thickBot="1">
      <c r="A50" s="88" t="s">
        <v>421</v>
      </c>
      <c r="B50" s="91" t="s">
        <v>422</v>
      </c>
      <c r="C50" s="100">
        <v>55383000</v>
      </c>
      <c r="D50" s="100">
        <v>19978236</v>
      </c>
      <c r="E50" s="101">
        <v>0.36072867125291153</v>
      </c>
      <c r="F50" s="111">
        <v>55383000</v>
      </c>
      <c r="G50" s="117">
        <f t="shared" si="0"/>
        <v>0</v>
      </c>
      <c r="H50" s="143" t="s">
        <v>475</v>
      </c>
    </row>
    <row r="51" spans="1:8" ht="29.6" thickBot="1">
      <c r="A51" s="88" t="s">
        <v>423</v>
      </c>
      <c r="B51" s="91" t="s">
        <v>424</v>
      </c>
      <c r="C51" s="100">
        <v>1643639900</v>
      </c>
      <c r="D51" s="100">
        <v>818560743</v>
      </c>
      <c r="E51" s="101">
        <v>0.49801707965351777</v>
      </c>
      <c r="F51" s="111">
        <v>1643639900</v>
      </c>
      <c r="G51" s="117">
        <f t="shared" si="0"/>
        <v>0</v>
      </c>
      <c r="H51" s="143" t="s">
        <v>476</v>
      </c>
    </row>
    <row r="52" spans="1:8" ht="73.3" thickBot="1">
      <c r="A52" s="88" t="s">
        <v>425</v>
      </c>
      <c r="B52" s="91" t="s">
        <v>426</v>
      </c>
      <c r="C52" s="100">
        <v>557043600</v>
      </c>
      <c r="D52" s="100">
        <v>91189665</v>
      </c>
      <c r="E52" s="101">
        <v>0.16370292199748818</v>
      </c>
      <c r="F52" s="111">
        <v>284614330</v>
      </c>
      <c r="G52" s="117">
        <f t="shared" si="0"/>
        <v>-272429270</v>
      </c>
      <c r="H52" s="143" t="s">
        <v>477</v>
      </c>
    </row>
    <row r="53" spans="1:8" ht="29.6" thickBot="1">
      <c r="A53" s="88" t="s">
        <v>427</v>
      </c>
      <c r="B53" s="91" t="s">
        <v>428</v>
      </c>
      <c r="C53" s="100">
        <v>300747700</v>
      </c>
      <c r="D53" s="100">
        <v>150430730</v>
      </c>
      <c r="E53" s="101">
        <v>0.50018912862841514</v>
      </c>
      <c r="F53" s="111">
        <v>330747700</v>
      </c>
      <c r="G53" s="117">
        <f t="shared" si="0"/>
        <v>30000000</v>
      </c>
      <c r="H53" s="143" t="s">
        <v>478</v>
      </c>
    </row>
    <row r="54" spans="1:8" ht="25.3" thickBot="1">
      <c r="A54" s="86" t="s">
        <v>429</v>
      </c>
      <c r="B54" s="92" t="s">
        <v>290</v>
      </c>
      <c r="C54" s="96">
        <v>159889600</v>
      </c>
      <c r="D54" s="96">
        <v>54101415</v>
      </c>
      <c r="E54" s="97">
        <v>0.3383673171988672</v>
      </c>
      <c r="F54" s="110">
        <f>F55</f>
        <v>165889600</v>
      </c>
      <c r="G54" s="116">
        <f t="shared" si="0"/>
        <v>6000000</v>
      </c>
      <c r="H54" s="143" t="s">
        <v>489</v>
      </c>
    </row>
    <row r="55" spans="1:8" ht="25.3" thickBot="1">
      <c r="A55" s="86" t="s">
        <v>430</v>
      </c>
      <c r="B55" s="92" t="s">
        <v>431</v>
      </c>
      <c r="C55" s="96">
        <v>159889600</v>
      </c>
      <c r="D55" s="96">
        <v>54101415</v>
      </c>
      <c r="E55" s="97">
        <v>0.3383673171988672</v>
      </c>
      <c r="F55" s="110">
        <f>SUM(F56:F58)</f>
        <v>165889600</v>
      </c>
      <c r="G55" s="117">
        <f t="shared" si="0"/>
        <v>6000000</v>
      </c>
      <c r="H55" s="142"/>
    </row>
    <row r="56" spans="1:8" ht="29.6" thickBot="1">
      <c r="A56" s="88" t="s">
        <v>432</v>
      </c>
      <c r="B56" s="91" t="s">
        <v>433</v>
      </c>
      <c r="C56" s="100">
        <v>53917000</v>
      </c>
      <c r="D56" s="100">
        <v>11582951</v>
      </c>
      <c r="E56" s="101">
        <v>0.21482929317283975</v>
      </c>
      <c r="F56" s="111">
        <v>53917000</v>
      </c>
      <c r="G56" s="117">
        <f t="shared" si="0"/>
        <v>0</v>
      </c>
      <c r="H56" s="143" t="s">
        <v>479</v>
      </c>
    </row>
    <row r="57" spans="1:8" ht="44.15" thickBot="1">
      <c r="A57" s="88" t="s">
        <v>434</v>
      </c>
      <c r="B57" s="91" t="s">
        <v>435</v>
      </c>
      <c r="C57" s="100">
        <v>95972600</v>
      </c>
      <c r="D57" s="100">
        <v>42518464</v>
      </c>
      <c r="E57" s="101">
        <v>0.4430271139887843</v>
      </c>
      <c r="F57" s="114">
        <v>101972600</v>
      </c>
      <c r="G57" s="117">
        <f t="shared" si="0"/>
        <v>6000000</v>
      </c>
      <c r="H57" s="143" t="s">
        <v>480</v>
      </c>
    </row>
    <row r="58" spans="1:8" ht="29.6" thickBot="1">
      <c r="A58" s="88" t="s">
        <v>436</v>
      </c>
      <c r="B58" s="91" t="s">
        <v>437</v>
      </c>
      <c r="C58" s="100">
        <v>10000000</v>
      </c>
      <c r="D58" s="106" t="s">
        <v>318</v>
      </c>
      <c r="E58" s="107">
        <v>0</v>
      </c>
      <c r="F58" s="111">
        <v>10000000</v>
      </c>
      <c r="G58" s="117">
        <f t="shared" si="0"/>
        <v>0</v>
      </c>
      <c r="H58" s="143" t="s">
        <v>481</v>
      </c>
    </row>
    <row r="59" spans="1:8" ht="25.3" thickBot="1">
      <c r="A59" s="86" t="s">
        <v>438</v>
      </c>
      <c r="B59" s="92" t="s">
        <v>302</v>
      </c>
      <c r="C59" s="96">
        <v>168979300</v>
      </c>
      <c r="D59" s="96">
        <v>81482594</v>
      </c>
      <c r="E59" s="103">
        <v>0.48220458955623557</v>
      </c>
      <c r="F59" s="112">
        <f>F60+F63</f>
        <v>174979300</v>
      </c>
      <c r="G59" s="116">
        <f t="shared" si="0"/>
        <v>6000000</v>
      </c>
      <c r="H59" s="143" t="s">
        <v>489</v>
      </c>
    </row>
    <row r="60" spans="1:8" ht="25.3" thickBot="1">
      <c r="A60" s="86" t="s">
        <v>439</v>
      </c>
      <c r="B60" s="92" t="s">
        <v>440</v>
      </c>
      <c r="C60" s="96">
        <v>72293700</v>
      </c>
      <c r="D60" s="96">
        <v>31544110</v>
      </c>
      <c r="E60" s="103">
        <v>0.43633276481906447</v>
      </c>
      <c r="F60" s="112">
        <f>SUM(F61:F62)</f>
        <v>78293700</v>
      </c>
      <c r="G60" s="117">
        <f t="shared" si="0"/>
        <v>6000000</v>
      </c>
      <c r="H60" s="142"/>
    </row>
    <row r="61" spans="1:8" ht="39" thickBot="1">
      <c r="A61" s="88" t="s">
        <v>441</v>
      </c>
      <c r="B61" s="91" t="s">
        <v>442</v>
      </c>
      <c r="C61" s="100">
        <v>9591500</v>
      </c>
      <c r="D61" s="100" t="s">
        <v>318</v>
      </c>
      <c r="E61" s="107">
        <v>0</v>
      </c>
      <c r="F61" s="114">
        <v>9591500</v>
      </c>
      <c r="G61" s="117">
        <f t="shared" si="0"/>
        <v>0</v>
      </c>
      <c r="H61" s="143" t="s">
        <v>482</v>
      </c>
    </row>
    <row r="62" spans="1:8" ht="29.6" thickBot="1">
      <c r="A62" s="88" t="s">
        <v>443</v>
      </c>
      <c r="B62" s="91" t="s">
        <v>444</v>
      </c>
      <c r="C62" s="100">
        <v>62702200</v>
      </c>
      <c r="D62" s="100">
        <v>31544110</v>
      </c>
      <c r="E62" s="107">
        <v>0.50307820140282156</v>
      </c>
      <c r="F62" s="114">
        <v>68702200</v>
      </c>
      <c r="G62" s="117">
        <f t="shared" si="0"/>
        <v>6000000</v>
      </c>
      <c r="H62" s="143" t="s">
        <v>483</v>
      </c>
    </row>
    <row r="63" spans="1:8" ht="25.3" thickBot="1">
      <c r="A63" s="86" t="s">
        <v>445</v>
      </c>
      <c r="B63" s="92" t="s">
        <v>446</v>
      </c>
      <c r="C63" s="96">
        <v>96685600</v>
      </c>
      <c r="D63" s="98">
        <v>49938484</v>
      </c>
      <c r="E63" s="103">
        <v>0.51650384338515765</v>
      </c>
      <c r="F63" s="112">
        <f>F64</f>
        <v>96685600</v>
      </c>
      <c r="G63" s="117">
        <f t="shared" si="0"/>
        <v>0</v>
      </c>
      <c r="H63" s="142"/>
    </row>
    <row r="64" spans="1:8" ht="26.15" thickBot="1">
      <c r="A64" s="88" t="s">
        <v>447</v>
      </c>
      <c r="B64" s="91" t="s">
        <v>448</v>
      </c>
      <c r="C64" s="100">
        <v>96685600</v>
      </c>
      <c r="D64" s="100">
        <v>49938484</v>
      </c>
      <c r="E64" s="107">
        <v>0.51650384338515765</v>
      </c>
      <c r="F64" s="111">
        <v>96685600</v>
      </c>
      <c r="G64" s="117">
        <f t="shared" si="0"/>
        <v>0</v>
      </c>
      <c r="H64" s="144" t="s">
        <v>484</v>
      </c>
    </row>
    <row r="65" spans="1:8" ht="15" thickBot="1">
      <c r="A65" s="179" t="s">
        <v>315</v>
      </c>
      <c r="B65" s="180"/>
      <c r="C65" s="108">
        <f>C4+C38+C48+C54+C59</f>
        <v>10810941900</v>
      </c>
      <c r="D65" s="108">
        <f>D4+D38+D48+D54+D59</f>
        <v>5199954137</v>
      </c>
      <c r="E65" s="109">
        <f>D65/C65*100%</f>
        <v>0.48098992530891321</v>
      </c>
      <c r="F65" s="115">
        <f>F4+F38+F48+F54+F59</f>
        <v>12548700585</v>
      </c>
      <c r="G65" s="119">
        <f t="shared" si="0"/>
        <v>1737758685</v>
      </c>
      <c r="H65" s="142"/>
    </row>
  </sheetData>
  <mergeCells count="15">
    <mergeCell ref="F21:F22"/>
    <mergeCell ref="A65:B65"/>
    <mergeCell ref="H21:H22"/>
    <mergeCell ref="G1:G2"/>
    <mergeCell ref="H1:H2"/>
    <mergeCell ref="A1:A2"/>
    <mergeCell ref="B1:B2"/>
    <mergeCell ref="C1:C2"/>
    <mergeCell ref="D1:E1"/>
    <mergeCell ref="F1:F2"/>
    <mergeCell ref="A21:A22"/>
    <mergeCell ref="B21:B22"/>
    <mergeCell ref="C21:C22"/>
    <mergeCell ref="D21:D22"/>
    <mergeCell ref="E21:E22"/>
  </mergeCells>
  <pageMargins left="0.7" right="0.7" top="0.75" bottom="0.75" header="0.3" footer="0.3"/>
  <pageSetup paperSize="9" scale="4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0D31-67EB-44AC-B338-5D2A3AA1F056}">
  <dimension ref="A2:E46"/>
  <sheetViews>
    <sheetView workbookViewId="0">
      <selection activeCell="A2" sqref="A2:E46"/>
    </sheetView>
  </sheetViews>
  <sheetFormatPr defaultRowHeight="14.6"/>
  <sheetData>
    <row r="2" spans="1:5" ht="15.9">
      <c r="A2" s="56"/>
      <c r="B2" s="56" t="s">
        <v>294</v>
      </c>
      <c r="C2" s="57">
        <v>53917000</v>
      </c>
      <c r="D2" s="57">
        <v>11582951</v>
      </c>
      <c r="E2" s="52">
        <f t="shared" ref="E2:E46" si="0">D2/C2*100%</f>
        <v>0.21482929317283975</v>
      </c>
    </row>
    <row r="3" spans="1:5" ht="15.9">
      <c r="A3" s="56" t="s">
        <v>24</v>
      </c>
      <c r="B3" s="56" t="s">
        <v>25</v>
      </c>
      <c r="C3" s="57">
        <v>53917000</v>
      </c>
      <c r="D3" s="57">
        <v>11582951</v>
      </c>
      <c r="E3" s="52">
        <f t="shared" si="0"/>
        <v>0.21482929317283975</v>
      </c>
    </row>
    <row r="4" spans="1:5" ht="15.9">
      <c r="A4" s="56" t="s">
        <v>26</v>
      </c>
      <c r="B4" s="56" t="s">
        <v>27</v>
      </c>
      <c r="C4" s="57">
        <v>18593000</v>
      </c>
      <c r="D4" s="57">
        <v>9700951</v>
      </c>
      <c r="E4" s="52">
        <f t="shared" si="0"/>
        <v>0.52175286398106813</v>
      </c>
    </row>
    <row r="5" spans="1:5" ht="15.9">
      <c r="A5" s="56" t="s">
        <v>28</v>
      </c>
      <c r="B5" s="56" t="s">
        <v>29</v>
      </c>
      <c r="C5" s="57">
        <v>18593000</v>
      </c>
      <c r="D5" s="57">
        <v>9700951</v>
      </c>
      <c r="E5" s="52">
        <f t="shared" si="0"/>
        <v>0.52175286398106813</v>
      </c>
    </row>
    <row r="6" spans="1:5" ht="15.9">
      <c r="A6" s="56" t="s">
        <v>30</v>
      </c>
      <c r="B6" s="56" t="s">
        <v>31</v>
      </c>
      <c r="C6" s="57">
        <v>10827400</v>
      </c>
      <c r="D6" s="57">
        <v>7750187</v>
      </c>
      <c r="E6" s="52">
        <f t="shared" si="0"/>
        <v>0.71579391174243123</v>
      </c>
    </row>
    <row r="7" spans="1:5" ht="15.9">
      <c r="A7" s="56" t="s">
        <v>32</v>
      </c>
      <c r="B7" s="56" t="s">
        <v>33</v>
      </c>
      <c r="C7" s="57">
        <v>1944000</v>
      </c>
      <c r="D7" s="57">
        <v>1900764</v>
      </c>
      <c r="E7" s="52">
        <f t="shared" si="0"/>
        <v>0.97775925925925922</v>
      </c>
    </row>
    <row r="8" spans="1:5" ht="15.9">
      <c r="A8" s="56" t="s">
        <v>237</v>
      </c>
      <c r="B8" s="56" t="s">
        <v>238</v>
      </c>
      <c r="C8" s="57">
        <v>50000</v>
      </c>
      <c r="D8" s="57">
        <v>50000</v>
      </c>
      <c r="E8" s="52">
        <f t="shared" si="0"/>
        <v>1</v>
      </c>
    </row>
    <row r="9" spans="1:5" ht="15.9">
      <c r="A9" s="56" t="s">
        <v>34</v>
      </c>
      <c r="B9" s="56" t="s">
        <v>35</v>
      </c>
      <c r="C9" s="57">
        <v>1721600</v>
      </c>
      <c r="D9" s="57" t="s">
        <v>318</v>
      </c>
      <c r="E9" s="52">
        <f t="shared" si="0"/>
        <v>0</v>
      </c>
    </row>
    <row r="10" spans="1:5" ht="15.9">
      <c r="A10" s="56" t="s">
        <v>137</v>
      </c>
      <c r="B10" s="56" t="s">
        <v>138</v>
      </c>
      <c r="C10" s="57">
        <v>4050000</v>
      </c>
      <c r="D10" s="57" t="s">
        <v>318</v>
      </c>
      <c r="E10" s="52">
        <f t="shared" si="0"/>
        <v>0</v>
      </c>
    </row>
    <row r="11" spans="1:5" ht="15.9">
      <c r="A11" s="56" t="s">
        <v>36</v>
      </c>
      <c r="B11" s="56" t="s">
        <v>37</v>
      </c>
      <c r="C11" s="57">
        <v>2244000</v>
      </c>
      <c r="D11" s="57">
        <v>1122000</v>
      </c>
      <c r="E11" s="52">
        <f t="shared" si="0"/>
        <v>0.5</v>
      </c>
    </row>
    <row r="12" spans="1:5" ht="15.9">
      <c r="A12" s="56" t="s">
        <v>38</v>
      </c>
      <c r="B12" s="56" t="s">
        <v>39</v>
      </c>
      <c r="C12" s="57">
        <v>2244000</v>
      </c>
      <c r="D12" s="57">
        <v>1122000</v>
      </c>
      <c r="E12" s="52">
        <f t="shared" si="0"/>
        <v>0.5</v>
      </c>
    </row>
    <row r="13" spans="1:5" ht="15.9">
      <c r="A13" s="56" t="s">
        <v>40</v>
      </c>
      <c r="B13" s="56" t="s">
        <v>41</v>
      </c>
      <c r="C13" s="57">
        <v>2244000</v>
      </c>
      <c r="D13" s="57">
        <v>1122000</v>
      </c>
      <c r="E13" s="52">
        <f t="shared" si="0"/>
        <v>0.5</v>
      </c>
    </row>
    <row r="14" spans="1:5" ht="15.9">
      <c r="A14" s="56" t="s">
        <v>42</v>
      </c>
      <c r="B14" s="56" t="s">
        <v>43</v>
      </c>
      <c r="C14" s="57">
        <v>33080000</v>
      </c>
      <c r="D14" s="57">
        <v>760000</v>
      </c>
      <c r="E14" s="52">
        <f t="shared" si="0"/>
        <v>2.2974607013301087E-2</v>
      </c>
    </row>
    <row r="15" spans="1:5" ht="15.9">
      <c r="A15" s="56" t="s">
        <v>44</v>
      </c>
      <c r="B15" s="56" t="s">
        <v>45</v>
      </c>
      <c r="C15" s="57">
        <v>33080000</v>
      </c>
      <c r="D15" s="57">
        <v>760000</v>
      </c>
      <c r="E15" s="52">
        <f t="shared" si="0"/>
        <v>2.2974607013301087E-2</v>
      </c>
    </row>
    <row r="16" spans="1:5" ht="15.9">
      <c r="A16" s="56" t="s">
        <v>46</v>
      </c>
      <c r="B16" s="56" t="s">
        <v>47</v>
      </c>
      <c r="C16" s="57">
        <v>33080000</v>
      </c>
      <c r="D16" s="57">
        <v>760000</v>
      </c>
      <c r="E16" s="52">
        <f t="shared" si="0"/>
        <v>2.2974607013301087E-2</v>
      </c>
    </row>
    <row r="17" spans="1:5" ht="15.9">
      <c r="A17" s="56"/>
      <c r="B17" s="56" t="s">
        <v>296</v>
      </c>
      <c r="C17" s="57">
        <v>95972600</v>
      </c>
      <c r="D17" s="57">
        <v>42518464</v>
      </c>
      <c r="E17" s="52">
        <f t="shared" si="0"/>
        <v>0.4430271139887843</v>
      </c>
    </row>
    <row r="18" spans="1:5" ht="15.9">
      <c r="A18" s="56" t="s">
        <v>24</v>
      </c>
      <c r="B18" s="56" t="s">
        <v>25</v>
      </c>
      <c r="C18" s="57">
        <v>95972600</v>
      </c>
      <c r="D18" s="57">
        <v>42518464</v>
      </c>
      <c r="E18" s="52">
        <f t="shared" si="0"/>
        <v>0.4430271139887843</v>
      </c>
    </row>
    <row r="19" spans="1:5" ht="15.9">
      <c r="A19" s="56" t="s">
        <v>26</v>
      </c>
      <c r="B19" s="56" t="s">
        <v>27</v>
      </c>
      <c r="C19" s="57">
        <v>20074600</v>
      </c>
      <c r="D19" s="57">
        <v>5308464</v>
      </c>
      <c r="E19" s="52">
        <f t="shared" si="0"/>
        <v>0.26443685054745797</v>
      </c>
    </row>
    <row r="20" spans="1:5" ht="15.9">
      <c r="A20" s="56" t="s">
        <v>28</v>
      </c>
      <c r="B20" s="56" t="s">
        <v>29</v>
      </c>
      <c r="C20" s="57">
        <v>20074600</v>
      </c>
      <c r="D20" s="57">
        <v>5308464</v>
      </c>
      <c r="E20" s="52">
        <f t="shared" si="0"/>
        <v>0.26443685054745797</v>
      </c>
    </row>
    <row r="21" spans="1:5" ht="15.9">
      <c r="A21" s="56" t="s">
        <v>30</v>
      </c>
      <c r="B21" s="56" t="s">
        <v>31</v>
      </c>
      <c r="C21" s="57">
        <v>16381000</v>
      </c>
      <c r="D21" s="57">
        <v>3093903</v>
      </c>
      <c r="E21" s="52">
        <f t="shared" si="0"/>
        <v>0.18887143642024296</v>
      </c>
    </row>
    <row r="22" spans="1:5" ht="15.9">
      <c r="A22" s="56" t="s">
        <v>32</v>
      </c>
      <c r="B22" s="56" t="s">
        <v>33</v>
      </c>
      <c r="C22" s="57">
        <v>762000</v>
      </c>
      <c r="D22" s="57">
        <v>698745</v>
      </c>
      <c r="E22" s="52">
        <f t="shared" si="0"/>
        <v>0.9169881889763779</v>
      </c>
    </row>
    <row r="23" spans="1:5" ht="15.9">
      <c r="A23" s="56" t="s">
        <v>34</v>
      </c>
      <c r="B23" s="56" t="s">
        <v>35</v>
      </c>
      <c r="C23" s="57">
        <v>1581600</v>
      </c>
      <c r="D23" s="57">
        <v>1515816</v>
      </c>
      <c r="E23" s="52">
        <f t="shared" si="0"/>
        <v>0.95840667678300451</v>
      </c>
    </row>
    <row r="24" spans="1:5" ht="15.9">
      <c r="A24" s="56" t="s">
        <v>137</v>
      </c>
      <c r="B24" s="56" t="s">
        <v>138</v>
      </c>
      <c r="C24" s="57">
        <v>1350000</v>
      </c>
      <c r="D24" s="57" t="s">
        <v>318</v>
      </c>
      <c r="E24" s="52">
        <f t="shared" si="0"/>
        <v>0</v>
      </c>
    </row>
    <row r="25" spans="1:5" ht="15.9">
      <c r="A25" s="56" t="s">
        <v>36</v>
      </c>
      <c r="B25" s="56" t="s">
        <v>37</v>
      </c>
      <c r="C25" s="57">
        <v>74398000</v>
      </c>
      <c r="D25" s="57">
        <v>37210000</v>
      </c>
      <c r="E25" s="52">
        <f t="shared" si="0"/>
        <v>0.50014785343692036</v>
      </c>
    </row>
    <row r="26" spans="1:5" ht="15.9">
      <c r="A26" s="56" t="s">
        <v>38</v>
      </c>
      <c r="B26" s="56" t="s">
        <v>39</v>
      </c>
      <c r="C26" s="57">
        <v>74398000</v>
      </c>
      <c r="D26" s="57">
        <v>37210000</v>
      </c>
      <c r="E26" s="52">
        <f t="shared" si="0"/>
        <v>0.50014785343692036</v>
      </c>
    </row>
    <row r="27" spans="1:5" ht="15.9">
      <c r="A27" s="56" t="s">
        <v>259</v>
      </c>
      <c r="B27" s="56" t="s">
        <v>260</v>
      </c>
      <c r="C27" s="57">
        <v>60000000</v>
      </c>
      <c r="D27" s="57">
        <v>30000000</v>
      </c>
      <c r="E27" s="52">
        <f t="shared" si="0"/>
        <v>0.5</v>
      </c>
    </row>
    <row r="28" spans="1:5" ht="15.9">
      <c r="A28" s="56" t="s">
        <v>40</v>
      </c>
      <c r="B28" s="56" t="s">
        <v>41</v>
      </c>
      <c r="C28" s="57">
        <v>2278000</v>
      </c>
      <c r="D28" s="57">
        <v>1150000</v>
      </c>
      <c r="E28" s="52">
        <f t="shared" si="0"/>
        <v>0.50482879719051799</v>
      </c>
    </row>
    <row r="29" spans="1:5" ht="15.9">
      <c r="A29" s="56" t="s">
        <v>112</v>
      </c>
      <c r="B29" s="56" t="s">
        <v>113</v>
      </c>
      <c r="C29" s="57">
        <v>12120000</v>
      </c>
      <c r="D29" s="57">
        <v>6060000</v>
      </c>
      <c r="E29" s="52">
        <f t="shared" si="0"/>
        <v>0.5</v>
      </c>
    </row>
    <row r="30" spans="1:5" ht="15.9">
      <c r="A30" s="56" t="s">
        <v>175</v>
      </c>
      <c r="B30" s="56" t="s">
        <v>176</v>
      </c>
      <c r="C30" s="57">
        <v>1500000</v>
      </c>
      <c r="D30" s="57" t="s">
        <v>318</v>
      </c>
      <c r="E30" s="52">
        <f t="shared" si="0"/>
        <v>0</v>
      </c>
    </row>
    <row r="31" spans="1:5" ht="15.9">
      <c r="A31" s="56" t="s">
        <v>177</v>
      </c>
      <c r="B31" s="56" t="s">
        <v>178</v>
      </c>
      <c r="C31" s="57">
        <v>1500000</v>
      </c>
      <c r="D31" s="57" t="s">
        <v>318</v>
      </c>
      <c r="E31" s="52">
        <f t="shared" si="0"/>
        <v>0</v>
      </c>
    </row>
    <row r="32" spans="1:5" ht="15.9">
      <c r="A32" s="56" t="s">
        <v>179</v>
      </c>
      <c r="B32" s="56" t="s">
        <v>180</v>
      </c>
      <c r="C32" s="57">
        <v>1500000</v>
      </c>
      <c r="D32" s="57" t="s">
        <v>318</v>
      </c>
      <c r="E32" s="52">
        <f t="shared" si="0"/>
        <v>0</v>
      </c>
    </row>
    <row r="33" spans="1:5" ht="15.9">
      <c r="A33" s="56"/>
      <c r="B33" s="56" t="s">
        <v>298</v>
      </c>
      <c r="C33" s="57">
        <v>10000000</v>
      </c>
      <c r="D33" s="57" t="s">
        <v>318</v>
      </c>
      <c r="E33" s="52">
        <f t="shared" si="0"/>
        <v>0</v>
      </c>
    </row>
    <row r="34" spans="1:5" ht="15.9">
      <c r="A34" s="56" t="s">
        <v>24</v>
      </c>
      <c r="B34" s="56" t="s">
        <v>25</v>
      </c>
      <c r="C34" s="57">
        <v>10000000</v>
      </c>
      <c r="D34" s="57" t="s">
        <v>318</v>
      </c>
      <c r="E34" s="52">
        <f t="shared" si="0"/>
        <v>0</v>
      </c>
    </row>
    <row r="35" spans="1:5" ht="15.9">
      <c r="A35" s="56" t="s">
        <v>26</v>
      </c>
      <c r="B35" s="56" t="s">
        <v>27</v>
      </c>
      <c r="C35" s="57">
        <v>4300000</v>
      </c>
      <c r="D35" s="57" t="s">
        <v>318</v>
      </c>
      <c r="E35" s="52">
        <f t="shared" si="0"/>
        <v>0</v>
      </c>
    </row>
    <row r="36" spans="1:5" ht="15.9">
      <c r="A36" s="56" t="s">
        <v>28</v>
      </c>
      <c r="B36" s="56" t="s">
        <v>29</v>
      </c>
      <c r="C36" s="57">
        <v>4300000</v>
      </c>
      <c r="D36" s="57" t="s">
        <v>318</v>
      </c>
      <c r="E36" s="52">
        <f t="shared" si="0"/>
        <v>0</v>
      </c>
    </row>
    <row r="37" spans="1:5" ht="15.9">
      <c r="A37" s="56" t="s">
        <v>30</v>
      </c>
      <c r="B37" s="56" t="s">
        <v>31</v>
      </c>
      <c r="C37" s="57">
        <v>1771800</v>
      </c>
      <c r="D37" s="57" t="s">
        <v>318</v>
      </c>
      <c r="E37" s="52">
        <f t="shared" si="0"/>
        <v>0</v>
      </c>
    </row>
    <row r="38" spans="1:5" ht="15.9">
      <c r="A38" s="56" t="s">
        <v>32</v>
      </c>
      <c r="B38" s="56" t="s">
        <v>33</v>
      </c>
      <c r="C38" s="57">
        <v>137800</v>
      </c>
      <c r="D38" s="57" t="s">
        <v>318</v>
      </c>
      <c r="E38" s="52">
        <f t="shared" si="0"/>
        <v>0</v>
      </c>
    </row>
    <row r="39" spans="1:5" ht="15.9">
      <c r="A39" s="56" t="s">
        <v>34</v>
      </c>
      <c r="B39" s="56" t="s">
        <v>35</v>
      </c>
      <c r="C39" s="57">
        <v>465400</v>
      </c>
      <c r="D39" s="57" t="s">
        <v>318</v>
      </c>
      <c r="E39" s="52">
        <f t="shared" si="0"/>
        <v>0</v>
      </c>
    </row>
    <row r="40" spans="1:5" ht="15.9">
      <c r="A40" s="56" t="s">
        <v>137</v>
      </c>
      <c r="B40" s="56" t="s">
        <v>138</v>
      </c>
      <c r="C40" s="57">
        <v>1925000</v>
      </c>
      <c r="D40" s="57" t="s">
        <v>318</v>
      </c>
      <c r="E40" s="52">
        <f t="shared" si="0"/>
        <v>0</v>
      </c>
    </row>
    <row r="41" spans="1:5" ht="15.9">
      <c r="A41" s="56" t="s">
        <v>36</v>
      </c>
      <c r="B41" s="56" t="s">
        <v>37</v>
      </c>
      <c r="C41" s="57">
        <v>4200000</v>
      </c>
      <c r="D41" s="57" t="s">
        <v>318</v>
      </c>
      <c r="E41" s="52">
        <f t="shared" si="0"/>
        <v>0</v>
      </c>
    </row>
    <row r="42" spans="1:5" ht="15.9">
      <c r="A42" s="56" t="s">
        <v>38</v>
      </c>
      <c r="B42" s="56" t="s">
        <v>39</v>
      </c>
      <c r="C42" s="57">
        <v>4200000</v>
      </c>
      <c r="D42" s="57" t="s">
        <v>318</v>
      </c>
      <c r="E42" s="52">
        <f t="shared" si="0"/>
        <v>0</v>
      </c>
    </row>
    <row r="43" spans="1:5" ht="15.9">
      <c r="A43" s="56" t="s">
        <v>247</v>
      </c>
      <c r="B43" s="56" t="s">
        <v>248</v>
      </c>
      <c r="C43" s="57">
        <v>4200000</v>
      </c>
      <c r="D43" s="57" t="s">
        <v>318</v>
      </c>
      <c r="E43" s="52">
        <f t="shared" si="0"/>
        <v>0</v>
      </c>
    </row>
    <row r="44" spans="1:5" ht="15.9">
      <c r="A44" s="56" t="s">
        <v>42</v>
      </c>
      <c r="B44" s="56" t="s">
        <v>43</v>
      </c>
      <c r="C44" s="57">
        <v>1500000</v>
      </c>
      <c r="D44" s="57" t="s">
        <v>318</v>
      </c>
      <c r="E44" s="52">
        <f t="shared" si="0"/>
        <v>0</v>
      </c>
    </row>
    <row r="45" spans="1:5" ht="15.9">
      <c r="A45" s="56" t="s">
        <v>44</v>
      </c>
      <c r="B45" s="56" t="s">
        <v>45</v>
      </c>
      <c r="C45" s="57">
        <v>1500000</v>
      </c>
      <c r="D45" s="57" t="s">
        <v>318</v>
      </c>
      <c r="E45" s="52">
        <f t="shared" si="0"/>
        <v>0</v>
      </c>
    </row>
    <row r="46" spans="1:5" ht="15.9">
      <c r="A46" s="56" t="s">
        <v>249</v>
      </c>
      <c r="B46" s="56" t="s">
        <v>250</v>
      </c>
      <c r="C46" s="57">
        <v>1500000</v>
      </c>
      <c r="D46" s="57" t="s">
        <v>318</v>
      </c>
      <c r="E46" s="5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RAK Belanja</vt:lpstr>
      <vt:lpstr>Sheet1</vt:lpstr>
      <vt:lpstr>Sheet2</vt:lpstr>
      <vt:lpstr>Sheet3</vt:lpstr>
      <vt:lpstr>Sheet4</vt:lpstr>
      <vt:lpstr>Sheet5</vt:lpstr>
      <vt:lpstr>Sheet6</vt:lpstr>
      <vt:lpstr>Sheet8</vt:lpstr>
      <vt:lpstr>Sheet9</vt:lpstr>
      <vt:lpstr>Sheet10</vt:lpstr>
      <vt:lpstr>Sheet7</vt:lpstr>
      <vt:lpstr>Sheet1!Print_Area</vt:lpstr>
      <vt:lpstr>Sheet4!Print_Area</vt:lpstr>
      <vt:lpstr>Sheet5!Print_Area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Kominfo Bendahara</cp:lastModifiedBy>
  <cp:lastPrinted>2026-08-06T06:04:32Z</cp:lastPrinted>
  <dcterms:modified xsi:type="dcterms:W3CDTF">2026-08-11T12:54:13Z</dcterms:modified>
</cp:coreProperties>
</file>